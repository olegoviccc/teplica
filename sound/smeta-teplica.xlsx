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Смета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3"/>
    </font>
    <font>
      <b val="1"/>
      <color rgb="00FFFFFF"/>
    </font>
    <font>
      <b val="1"/>
    </font>
    <font>
      <color rgb="001155CC"/>
      <u val="single"/>
    </font>
  </fonts>
  <fills count="3">
    <fill>
      <patternFill/>
    </fill>
    <fill>
      <patternFill patternType="gray125"/>
    </fill>
    <fill>
      <patternFill patternType="solid">
        <fgColor rgb="003C4A6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0" fillId="2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ult.ru/product/miksher-lab-gruppen-cm82" TargetMode="External" Id="rId1"/><Relationship Type="http://schemas.openxmlformats.org/officeDocument/2006/relationships/hyperlink" Target="https://www.pult.ru/product/usilitel-moshchnosti-volta-live-4-400" TargetMode="External" Id="rId2"/><Relationship Type="http://schemas.openxmlformats.org/officeDocument/2006/relationships/hyperlink" Target="https://www.pult.ru/product/usilitel-lab-gruppen-lab-gruppen-ca602" TargetMode="External" Id="rId3"/><Relationship Type="http://schemas.openxmlformats.org/officeDocument/2006/relationships/hyperlink" Target="https://www.pult.ru/product/nastennyy-regulyator-lab-gruppen-lab-gruppen-crc-veu-bk" TargetMode="External" Id="rId4"/><Relationship Type="http://schemas.openxmlformats.org/officeDocument/2006/relationships/hyperlink" Target="https://www.audiomania.ru/polochnaya_akustika/kef/kef_q350.html" TargetMode="External" Id="rId5"/><Relationship Type="http://schemas.openxmlformats.org/officeDocument/2006/relationships/hyperlink" Target="https://www.pult.ru/product/ulichnaya-akusticheskaya-sistema-cvgaudio-osr608tbl" TargetMode="External" Id="rId6"/><Relationship Type="http://schemas.openxmlformats.org/officeDocument/2006/relationships/hyperlink" Target="https://www.cvg.ru/catalog/potolochnye_vstraivaemye_akusticheskie_sistemy_100v/crh608t/" TargetMode="External" Id="rId7"/><Relationship Type="http://schemas.openxmlformats.org/officeDocument/2006/relationships/hyperlink" Target="https://www.pult.ru/product/nastennyy-shkaf-wize-pro-w12u45r#about" TargetMode="External" Id="rId8"/><Relationship Type="http://schemas.openxmlformats.org/officeDocument/2006/relationships/hyperlink" Target="https://www.vseinstrumenti.ru/product/blok-gembird-1-vhod-s14-8-evrorozetok-s-zaschitoj-dlya-19-c14-max-19-16a-1u-max19-eh8-0-1504402/" TargetMode="External" Id="rId9"/><Relationship Type="http://schemas.openxmlformats.org/officeDocument/2006/relationships/hyperlink" Target="https://www.ozon.ru/product/nastennyy-metallicheskiy-dlya-planshetov-4-13-dyuymov-3445381273/" TargetMode="External" Id="rId10"/><Relationship Type="http://schemas.openxmlformats.org/officeDocument/2006/relationships/hyperlink" Target="https://www.audiomania.ru/subwoofer/radiotehnika/radiotehnika_alfa_1-04_mk_ii.html" TargetMode="External" Id="rId11"/><Relationship Type="http://schemas.openxmlformats.org/officeDocument/2006/relationships/hyperlink" Target="https://www.pult.ru/product/miksher-lab-gruppen-cm82" TargetMode="External" Id="rId12"/><Relationship Type="http://schemas.openxmlformats.org/officeDocument/2006/relationships/hyperlink" Target="https://www.pult.ru/product/usilitel-moshchnosti-volta-live-4-400" TargetMode="External" Id="rId13"/><Relationship Type="http://schemas.openxmlformats.org/officeDocument/2006/relationships/hyperlink" Target="https://www.pult.ru/product/usilitel-lab-gruppen-lab-gruppen-ca602" TargetMode="External" Id="rId14"/><Relationship Type="http://schemas.openxmlformats.org/officeDocument/2006/relationships/hyperlink" Target="https://www.pult.ru/product/nastennyy-regulyator-lab-gruppen-lab-gruppen-crc-veu-bk" TargetMode="External" Id="rId15"/><Relationship Type="http://schemas.openxmlformats.org/officeDocument/2006/relationships/hyperlink" Target="https://www.audiomania.ru/polochnaya_akustika/kef/kef_q150.html" TargetMode="External" Id="rId16"/><Relationship Type="http://schemas.openxmlformats.org/officeDocument/2006/relationships/hyperlink" Target="https://www.pult.ru/product/ulichnaya-akusticheskaya-sistema-cvgaudio-osr608tbl" TargetMode="External" Id="rId17"/><Relationship Type="http://schemas.openxmlformats.org/officeDocument/2006/relationships/hyperlink" Target="https://www.cvg.ru/catalog/potolochnye_vstraivaemye_akusticheskie_sistemy_100v/crh608t/" TargetMode="External" Id="rId18"/><Relationship Type="http://schemas.openxmlformats.org/officeDocument/2006/relationships/hyperlink" Target="https://www.pult.ru/product/nastennyy-shkaf-wize-pro-w12u45r#about" TargetMode="External" Id="rId19"/><Relationship Type="http://schemas.openxmlformats.org/officeDocument/2006/relationships/hyperlink" Target="https://www.vseinstrumenti.ru/product/blok-gembird-1-vhod-s14-8-evrorozetok-s-zaschitoj-dlya-19-c14-max-19-16a-1u-max19-eh8-0-1504402/" TargetMode="External" Id="rId20"/><Relationship Type="http://schemas.openxmlformats.org/officeDocument/2006/relationships/hyperlink" Target="https://www.ozon.ru/product/nastennyy-metallicheskiy-dlya-planshetov-4-13-dyuymov-3445381273/" TargetMode="External" Id="rId21"/><Relationship Type="http://schemas.openxmlformats.org/officeDocument/2006/relationships/hyperlink" Target="https://www.audiomania.ru/subwoofer/radiotehnika/radiotehnika_alfa_1-04_mk_ii.html" TargetMode="External" Id="rId22"/><Relationship Type="http://schemas.openxmlformats.org/officeDocument/2006/relationships/hyperlink" Target="https://www.cvg.ru/catalog/100v-usiliteli-so-vstroennym-modulem-mp3-fm/m123tm/" TargetMode="External" Id="rId23"/><Relationship Type="http://schemas.openxmlformats.org/officeDocument/2006/relationships/hyperlink" Target="https://www.pult.ru/product/regulyator-gromkosti-cvgaudio-va-1100" TargetMode="External" Id="rId24"/><Relationship Type="http://schemas.openxmlformats.org/officeDocument/2006/relationships/hyperlink" Target="https://www.pult.ru/product/regulyator-gromkosti-cvgaudio-va-1100" TargetMode="External" Id="rId25"/><Relationship Type="http://schemas.openxmlformats.org/officeDocument/2006/relationships/hyperlink" Target="https://www.pult.ru/product/regulyator-gromkosti-cvgaudio-va-110" TargetMode="External" Id="rId26"/><Relationship Type="http://schemas.openxmlformats.org/officeDocument/2006/relationships/hyperlink" Target="https://www.ozon.ru/product/nastennyy-metallicheskiy-dlya-planshetov-4-13-dyuymov-3445381273/" TargetMode="External" Id="rId27"/><Relationship Type="http://schemas.openxmlformats.org/officeDocument/2006/relationships/hyperlink" Target="https://www.pult.ru/product/nastennyy-shkaf-wize-pro-w12u45r#about" TargetMode="External" Id="rId28"/><Relationship Type="http://schemas.openxmlformats.org/officeDocument/2006/relationships/hyperlink" Target="https://www.pult.ru/product/ulichnaya-akusticheskaya-sistema-cvgaudio-osr608tbl" TargetMode="External" Id="rId29"/><Relationship Type="http://schemas.openxmlformats.org/officeDocument/2006/relationships/hyperlink" Target="https://www.cvg.ru/catalog/potolochnye_vstraivaemye_akusticheskie_sistemy_100v/crh608t/" TargetMode="External" Id="rId30"/><Relationship Type="http://schemas.openxmlformats.org/officeDocument/2006/relationships/hyperlink" Target="https://www.pult.ru/product/miksher-lab-gruppen-cm82" TargetMode="External" Id="rId31"/><Relationship Type="http://schemas.openxmlformats.org/officeDocument/2006/relationships/hyperlink" Target="https://www.pult.ru/product/usilitel-installyacionnyy-lab-gruppen-ca2401" TargetMode="External" Id="rId32"/><Relationship Type="http://schemas.openxmlformats.org/officeDocument/2006/relationships/hyperlink" Target="https://www.pult.ru/product/usiliteli-moshchnosti/usiliteli-dvuhkanalnye/" TargetMode="External" Id="rId33"/><Relationship Type="http://schemas.openxmlformats.org/officeDocument/2006/relationships/hyperlink" Target="https://www.pult.ru/product/nastennyy-regulyator-lab-gruppen-lab-gruppen-crc-veu-bk" TargetMode="External" Id="rId34"/><Relationship Type="http://schemas.openxmlformats.org/officeDocument/2006/relationships/hyperlink" Target="https://www.pult.ru/product/ulichnaya-akusticheskaya-sistema-cvgaudio-osr608tbl" TargetMode="External" Id="rId35"/><Relationship Type="http://schemas.openxmlformats.org/officeDocument/2006/relationships/hyperlink" Target="https://www.cvg.ru/catalog/potolochnye_vstraivaemye_akusticheskie_sistemy_100v/crh608t/" TargetMode="External" Id="rId36"/><Relationship Type="http://schemas.openxmlformats.org/officeDocument/2006/relationships/hyperlink" Target="https://www.pult.ru/product/nastennyy-shkaf-wize-pro-w12u45r#about" TargetMode="External" Id="rId37"/><Relationship Type="http://schemas.openxmlformats.org/officeDocument/2006/relationships/hyperlink" Target="https://www.pult.ru/product/blok-rozetok-19---mdx-pdu-8e-10a-sw" TargetMode="External" Id="rId38"/><Relationship Type="http://schemas.openxmlformats.org/officeDocument/2006/relationships/hyperlink" Target="https://www.ozon.ru/product/nastennyy-metallicheskiy-dlya-planshetov-4-13-dyuymov-3445381273/" TargetMode="External" Id="rId39"/><Relationship Type="http://schemas.openxmlformats.org/officeDocument/2006/relationships/hyperlink" Target="https://www.pult.ru/product/usilitel-behringer-km750" TargetMode="External" Id="rId40"/><Relationship Type="http://schemas.openxmlformats.org/officeDocument/2006/relationships/hyperlink" Target="https://www.audiomania.ru/subwoofer/radiotehnika/radiotehnika_alfa_1-04_mk_ii.html" TargetMode="External" Id="rId4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7"/>
  <sheetViews>
    <sheetView workbookViewId="0">
      <selection activeCell="A1" sqref="A1"/>
    </sheetView>
  </sheetViews>
  <sheetFormatPr baseColWidth="8" defaultRowHeight="15"/>
  <cols>
    <col width="5" customWidth="1" min="1" max="1"/>
    <col width="16" customWidth="1" min="2" max="2"/>
    <col width="58" customWidth="1" min="3" max="3"/>
    <col width="7" customWidth="1" min="4" max="4"/>
    <col width="8" customWidth="1" min="5" max="5"/>
    <col width="11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Теплица: смета оборудования по вариантам A / B / C (копия Google-таблицы на 22.10.2026)</t>
        </is>
      </c>
    </row>
    <row r="3">
      <c r="A3" s="2" t="inlineStr">
        <is>
          <t>Вариант A: KEF Q350 на Volta LIVE 4.400 + CA602, сабвуфер опционально</t>
        </is>
      </c>
      <c r="B3" s="3" t="n"/>
      <c r="C3" s="3" t="n"/>
      <c r="D3" s="3" t="n"/>
      <c r="E3" s="3" t="n"/>
      <c r="F3" s="3" t="n"/>
      <c r="G3" s="3" t="n"/>
      <c r="H3" s="3" t="n"/>
      <c r="I3" s="3" t="n"/>
    </row>
    <row r="4">
      <c r="A4" s="4" t="inlineStr">
        <is>
          <t>№</t>
        </is>
      </c>
      <c r="B4" s="4" t="inlineStr">
        <is>
          <t>Раздел</t>
        </is>
      </c>
      <c r="C4" s="4" t="inlineStr">
        <is>
          <t>Наименование</t>
        </is>
      </c>
      <c r="D4" s="4" t="inlineStr">
        <is>
          <t>Ед.</t>
        </is>
      </c>
      <c r="E4" s="4" t="inlineStr">
        <is>
          <t>Кол-во</t>
        </is>
      </c>
      <c r="F4" s="4" t="inlineStr">
        <is>
          <t>Цена, ₽</t>
        </is>
      </c>
      <c r="G4" s="4" t="inlineStr">
        <is>
          <t>Сумма, ₽</t>
        </is>
      </c>
      <c r="H4" s="4" t="inlineStr">
        <is>
          <t>Где купить</t>
        </is>
      </c>
      <c r="I4" s="4" t="inlineStr">
        <is>
          <t>Примечание</t>
        </is>
      </c>
    </row>
    <row r="5">
      <c r="A5" t="n">
        <v>1</v>
      </c>
      <c r="B5" t="inlineStr">
        <is>
          <t>Электроника</t>
        </is>
      </c>
      <c r="C5" t="inlineStr">
        <is>
          <t>Lab.gruppen CM82, микшер 8×2</t>
        </is>
      </c>
      <c r="D5" t="inlineStr">
        <is>
          <t>шт</t>
        </is>
      </c>
      <c r="E5" t="n">
        <v>1</v>
      </c>
      <c r="F5" t="n">
        <v>45071</v>
      </c>
      <c r="G5">
        <f>E5*F5</f>
        <v/>
      </c>
      <c r="H5" s="5" t="inlineStr">
        <is>
          <t>Pult.ru</t>
        </is>
      </c>
      <c r="I5" t="inlineStr"/>
    </row>
    <row r="6">
      <c r="A6" t="n">
        <v>2</v>
      </c>
      <c r="B6" t="inlineStr">
        <is>
          <t>Электроника</t>
        </is>
      </c>
      <c r="C6" t="inlineStr">
        <is>
          <t>Volta LIVE 4.400, зал: 2 пары KEF (кан. 3 — под сабвуфер)</t>
        </is>
      </c>
      <c r="D6" t="inlineStr">
        <is>
          <t>шт</t>
        </is>
      </c>
      <c r="E6" t="n">
        <v>1</v>
      </c>
      <c r="F6" t="n">
        <v>31626</v>
      </c>
      <c r="G6">
        <f>E6*F6</f>
        <v/>
      </c>
      <c r="H6" s="5" t="inlineStr">
        <is>
          <t>Pult.ru</t>
        </is>
      </c>
      <c r="I6" t="inlineStr">
        <is>
          <t>в наличии; встречалась цена 25 984</t>
        </is>
      </c>
    </row>
    <row r="7">
      <c r="A7" t="n">
        <v>3</v>
      </c>
      <c r="B7" t="inlineStr">
        <is>
          <t>Электроника</t>
        </is>
      </c>
      <c r="C7" t="inlineStr">
        <is>
          <t>Lab.gruppen CA602, улица + туалет (2 × 60 Вт, 100 В)</t>
        </is>
      </c>
      <c r="D7" t="inlineStr">
        <is>
          <t>шт</t>
        </is>
      </c>
      <c r="E7" t="n">
        <v>0</v>
      </c>
      <c r="F7" t="n">
        <v>35330</v>
      </c>
      <c r="G7">
        <f>E7*F7</f>
        <v/>
      </c>
      <c r="H7" s="5" t="inlineStr">
        <is>
          <t>Pult.ru</t>
        </is>
      </c>
      <c r="I7" t="inlineStr">
        <is>
          <t>есть в наличии</t>
        </is>
      </c>
    </row>
    <row r="8">
      <c r="A8" t="n">
        <v>4</v>
      </c>
      <c r="B8" t="inlineStr">
        <is>
          <t>Электроника</t>
        </is>
      </c>
      <c r="C8" t="inlineStr">
        <is>
          <t>Lab.gruppen CRC-VEU, регулятор зоны</t>
        </is>
      </c>
      <c r="D8" t="inlineStr">
        <is>
          <t>шт</t>
        </is>
      </c>
      <c r="E8" t="n">
        <v>3</v>
      </c>
      <c r="F8" t="n">
        <v>6510</v>
      </c>
      <c r="G8">
        <f>E8*F8</f>
        <v/>
      </c>
      <c r="H8" s="5" t="inlineStr">
        <is>
          <t>Pult.ru</t>
        </is>
      </c>
      <c r="I8" t="inlineStr">
        <is>
          <t>зал, улица, туалет</t>
        </is>
      </c>
    </row>
    <row r="9">
      <c r="A9" t="n">
        <v>5</v>
      </c>
      <c r="B9" t="inlineStr">
        <is>
          <t>Электроника</t>
        </is>
      </c>
      <c r="C9" t="inlineStr">
        <is>
          <t>Рамка на 3 поста + подрозетники</t>
        </is>
      </c>
      <c r="D9" t="inlineStr">
        <is>
          <t>компл</t>
        </is>
      </c>
      <c r="E9" t="n">
        <v>1</v>
      </c>
      <c r="F9" t="n">
        <v>1500</v>
      </c>
      <c r="G9">
        <f>E9*F9</f>
        <v/>
      </c>
      <c r="H9" t="inlineStr"/>
      <c r="I9" t="inlineStr">
        <is>
          <t>оценка</t>
        </is>
      </c>
    </row>
    <row r="10">
      <c r="A10" t="n">
        <v>6</v>
      </c>
      <c r="B10" t="inlineStr">
        <is>
          <t>Электроника</t>
        </is>
      </c>
      <c r="C10" t="inlineStr">
        <is>
          <t>iPad</t>
        </is>
      </c>
      <c r="D10" t="inlineStr">
        <is>
          <t>шт</t>
        </is>
      </c>
      <c r="E10" t="n">
        <v>1</v>
      </c>
      <c r="F10" t="n">
        <v>25000</v>
      </c>
      <c r="G10">
        <f>E10*F10</f>
        <v/>
      </c>
      <c r="H10" t="inlineStr">
        <is>
          <t>Авито</t>
        </is>
      </c>
      <c r="I10" t="inlineStr">
        <is>
          <t>диапазон 17–25 тыс.</t>
        </is>
      </c>
    </row>
    <row r="11">
      <c r="A11" t="n">
        <v>7</v>
      </c>
      <c r="B11" t="inlineStr">
        <is>
          <t>Акустика</t>
        </is>
      </c>
      <c r="C11" t="inlineStr">
        <is>
          <t>KEF Q350, полочная акустика (пара)</t>
        </is>
      </c>
      <c r="D11" t="inlineStr">
        <is>
          <t>пара</t>
        </is>
      </c>
      <c r="E11" t="n">
        <v>2</v>
      </c>
      <c r="F11" t="n">
        <v>39000</v>
      </c>
      <c r="G11">
        <f>E11*F11</f>
        <v/>
      </c>
      <c r="H11" s="5" t="inlineStr">
        <is>
          <t>Audiomania</t>
        </is>
      </c>
      <c r="I11" t="inlineStr">
        <is>
          <t>акция на Аудиомании</t>
        </is>
      </c>
    </row>
    <row r="12">
      <c r="A12" t="n">
        <v>8</v>
      </c>
      <c r="B12" t="inlineStr">
        <is>
          <t>Акустика</t>
        </is>
      </c>
      <c r="C12" t="inlineStr">
        <is>
          <t>CVGaudio OSR608TBL, улица, 100 В / 20 Вт, IP65</t>
        </is>
      </c>
      <c r="D12" t="inlineStr">
        <is>
          <t>шт</t>
        </is>
      </c>
      <c r="E12" t="n">
        <v>1</v>
      </c>
      <c r="F12" t="n">
        <v>9417</v>
      </c>
      <c r="G12">
        <f>E12*F12</f>
        <v/>
      </c>
      <c r="H12" s="5" t="inlineStr">
        <is>
          <t>Pult.ru</t>
        </is>
      </c>
      <c r="I12" t="inlineStr"/>
    </row>
    <row r="13">
      <c r="A13" t="n">
        <v>9</v>
      </c>
      <c r="B13" t="inlineStr">
        <is>
          <t>Акустика</t>
        </is>
      </c>
      <c r="C13" t="inlineStr">
        <is>
          <t>CVGaudio CRH608T, туалет, 100 В / 8 Вт</t>
        </is>
      </c>
      <c r="D13" t="inlineStr">
        <is>
          <t>шт</t>
        </is>
      </c>
      <c r="E13" t="n">
        <v>0</v>
      </c>
      <c r="F13" t="n">
        <v>6150</v>
      </c>
      <c r="G13">
        <f>E13*F13</f>
        <v/>
      </c>
      <c r="H13" s="5" t="inlineStr">
        <is>
          <t>CVG</t>
        </is>
      </c>
      <c r="I13" t="inlineStr">
        <is>
          <t>есть в наличии</t>
        </is>
      </c>
    </row>
    <row r="14">
      <c r="A14" t="n">
        <v>10</v>
      </c>
      <c r="B14" t="inlineStr">
        <is>
          <t>Шкаф</t>
        </is>
      </c>
      <c r="C14" t="inlineStr">
        <is>
          <t>Шкаф настенный 19″ 9U Wize Pro W9U45R</t>
        </is>
      </c>
      <c r="D14" t="inlineStr">
        <is>
          <t>шт</t>
        </is>
      </c>
      <c r="E14" t="n">
        <v>1</v>
      </c>
      <c r="F14" t="n">
        <v>17869</v>
      </c>
      <c r="G14">
        <f>E14*F14</f>
        <v/>
      </c>
      <c r="H14" s="5" t="inlineStr">
        <is>
          <t>Pult.ru</t>
        </is>
      </c>
      <c r="I14" t="inlineStr"/>
    </row>
    <row r="15">
      <c r="A15" t="n">
        <v>11</v>
      </c>
      <c r="B15" t="inlineStr">
        <is>
          <t>Шкаф и материалы</t>
        </is>
      </c>
      <c r="C15" t="inlineStr">
        <is>
          <t>Блок розеток 19″ 1U с выключателем</t>
        </is>
      </c>
      <c r="D15" t="inlineStr">
        <is>
          <t>шт</t>
        </is>
      </c>
      <c r="E15" t="n">
        <v>1</v>
      </c>
      <c r="F15" t="n">
        <v>1755</v>
      </c>
      <c r="G15">
        <f>E15*F15</f>
        <v/>
      </c>
      <c r="H15" s="5" t="inlineStr">
        <is>
          <t>ВсеИнструменты</t>
        </is>
      </c>
      <c r="I15" t="inlineStr">
        <is>
          <t>Gembird MAX19-EH8</t>
        </is>
      </c>
    </row>
    <row r="16">
      <c r="A16" t="n">
        <v>12</v>
      </c>
      <c r="B16" t="inlineStr">
        <is>
          <t>Шкаф и материалы</t>
        </is>
      </c>
      <c r="C16" t="inlineStr">
        <is>
          <t>Кронштейн настенный металлический для планшетов 4–13″</t>
        </is>
      </c>
      <c r="D16" t="inlineStr">
        <is>
          <t>шт</t>
        </is>
      </c>
      <c r="E16" t="n">
        <v>1</v>
      </c>
      <c r="F16" t="n">
        <v>2278</v>
      </c>
      <c r="G16">
        <f>E16*F16</f>
        <v/>
      </c>
      <c r="H16" s="5" t="inlineStr">
        <is>
          <t>Ozon</t>
        </is>
      </c>
      <c r="I16" t="inlineStr">
        <is>
          <t>под iPad</t>
        </is>
      </c>
    </row>
    <row r="17">
      <c r="A17" t="n">
        <v>13</v>
      </c>
      <c r="B17" t="inlineStr">
        <is>
          <t>Коммутация</t>
        </is>
      </c>
      <c r="C17" t="inlineStr">
        <is>
          <t>Кабель: 2×1,5 (пары), 2×1,5 (саб, 100 В), уличный, Cat5e ×3</t>
        </is>
      </c>
      <c r="D17" t="inlineStr">
        <is>
          <t>компл</t>
        </is>
      </c>
      <c r="E17" t="n">
        <v>1</v>
      </c>
      <c r="F17" t="n">
        <v>20000</v>
      </c>
      <c r="G17">
        <f>E17*F17</f>
        <v/>
      </c>
      <c r="H17" t="inlineStr"/>
      <c r="I17" t="inlineStr">
        <is>
          <t>примерно, нужен расчёт длины трасс</t>
        </is>
      </c>
    </row>
    <row r="18">
      <c r="A18" t="n">
        <v>14</v>
      </c>
      <c r="B18" t="inlineStr">
        <is>
          <t>Шкаф и материалы</t>
        </is>
      </c>
      <c r="C18" t="inlineStr">
        <is>
          <t>Кронштейны для KEF, расходные материалы</t>
        </is>
      </c>
      <c r="D18" t="inlineStr">
        <is>
          <t>компл</t>
        </is>
      </c>
      <c r="E18" t="n">
        <v>1</v>
      </c>
      <c r="F18" t="n">
        <v>12000</v>
      </c>
      <c r="G18">
        <f>E18*F18</f>
        <v/>
      </c>
      <c r="H18" t="inlineStr"/>
      <c r="I18" t="inlineStr"/>
    </row>
    <row r="19">
      <c r="C19" s="4" t="inlineStr">
        <is>
          <t>Итого</t>
        </is>
      </c>
      <c r="G19" s="4">
        <f>SUM(G5:G18)</f>
        <v/>
      </c>
    </row>
    <row r="21">
      <c r="A21" s="2" t="inlineStr">
        <is>
          <t>Вариант A: опция «сабвуфер»</t>
        </is>
      </c>
      <c r="B21" s="3" t="n"/>
      <c r="C21" s="3" t="n"/>
      <c r="D21" s="3" t="n"/>
      <c r="E21" s="3" t="n"/>
      <c r="F21" s="3" t="n"/>
      <c r="G21" s="3" t="n"/>
      <c r="H21" s="3" t="n"/>
      <c r="I21" s="3" t="n"/>
    </row>
    <row r="22">
      <c r="A22" s="4" t="inlineStr">
        <is>
          <t>№</t>
        </is>
      </c>
      <c r="B22" s="4" t="inlineStr">
        <is>
          <t>Раздел</t>
        </is>
      </c>
      <c r="C22" s="4" t="inlineStr">
        <is>
          <t>Наименование</t>
        </is>
      </c>
      <c r="D22" s="4" t="inlineStr">
        <is>
          <t>Ед.</t>
        </is>
      </c>
      <c r="E22" s="4" t="inlineStr">
        <is>
          <t>Кол-во</t>
        </is>
      </c>
      <c r="F22" s="4" t="inlineStr">
        <is>
          <t>Цена, ₽</t>
        </is>
      </c>
      <c r="G22" s="4" t="inlineStr">
        <is>
          <t>Сумма, ₽</t>
        </is>
      </c>
      <c r="H22" s="4" t="inlineStr">
        <is>
          <t>Где купить</t>
        </is>
      </c>
      <c r="I22" s="4" t="inlineStr">
        <is>
          <t>Примечание</t>
        </is>
      </c>
    </row>
    <row r="23">
      <c r="A23" t="n">
        <v>1</v>
      </c>
      <c r="B23" t="inlineStr">
        <is>
          <t>Опция</t>
        </is>
      </c>
      <c r="C23" t="inlineStr">
        <is>
          <t>Radiotehnika Alfa 1.04 MKII, активный сабвуфер 10″</t>
        </is>
      </c>
      <c r="D23" t="inlineStr">
        <is>
          <t>шт</t>
        </is>
      </c>
      <c r="E23" t="n">
        <v>1</v>
      </c>
      <c r="F23" t="n">
        <v>49990</v>
      </c>
      <c r="G23">
        <f>E23*F23</f>
        <v/>
      </c>
      <c r="H23" s="5" t="inlineStr">
        <is>
          <t>Audiomania</t>
        </is>
      </c>
      <c r="I23" t="inlineStr">
        <is>
          <t>к каналу 3 Volta, розетка 230 В</t>
        </is>
      </c>
    </row>
    <row r="24">
      <c r="C24" s="4" t="inlineStr">
        <is>
          <t>Итого</t>
        </is>
      </c>
      <c r="G24" s="4">
        <f>SUM(G23:G23)</f>
        <v/>
      </c>
    </row>
    <row r="26">
      <c r="A26" s="2" t="inlineStr">
        <is>
          <t>Вариант A2: то же с KEF Q150, сабвуфер опционально</t>
        </is>
      </c>
      <c r="B26" s="3" t="n"/>
      <c r="C26" s="3" t="n"/>
      <c r="D26" s="3" t="n"/>
      <c r="E26" s="3" t="n"/>
      <c r="F26" s="3" t="n"/>
      <c r="G26" s="3" t="n"/>
      <c r="H26" s="3" t="n"/>
      <c r="I26" s="3" t="n"/>
    </row>
    <row r="27">
      <c r="A27" s="4" t="inlineStr">
        <is>
          <t>№</t>
        </is>
      </c>
      <c r="B27" s="4" t="inlineStr">
        <is>
          <t>Раздел</t>
        </is>
      </c>
      <c r="C27" s="4" t="inlineStr">
        <is>
          <t>Наименование</t>
        </is>
      </c>
      <c r="D27" s="4" t="inlineStr">
        <is>
          <t>Ед.</t>
        </is>
      </c>
      <c r="E27" s="4" t="inlineStr">
        <is>
          <t>Кол-во</t>
        </is>
      </c>
      <c r="F27" s="4" t="inlineStr">
        <is>
          <t>Цена, ₽</t>
        </is>
      </c>
      <c r="G27" s="4" t="inlineStr">
        <is>
          <t>Сумма, ₽</t>
        </is>
      </c>
      <c r="H27" s="4" t="inlineStr">
        <is>
          <t>Где купить</t>
        </is>
      </c>
      <c r="I27" s="4" t="inlineStr">
        <is>
          <t>Примечание</t>
        </is>
      </c>
    </row>
    <row r="28">
      <c r="A28" t="n">
        <v>1</v>
      </c>
      <c r="B28" t="inlineStr">
        <is>
          <t>Электроника</t>
        </is>
      </c>
      <c r="C28" t="inlineStr">
        <is>
          <t>Lab.gruppen CM82, микшер 8×2</t>
        </is>
      </c>
      <c r="D28" t="inlineStr">
        <is>
          <t>шт</t>
        </is>
      </c>
      <c r="E28" t="n">
        <v>1</v>
      </c>
      <c r="F28" t="n">
        <v>45071</v>
      </c>
      <c r="G28">
        <f>E28*F28</f>
        <v/>
      </c>
      <c r="H28" s="5" t="inlineStr">
        <is>
          <t>Pult.ru</t>
        </is>
      </c>
      <c r="I28" t="inlineStr"/>
    </row>
    <row r="29">
      <c r="A29" t="n">
        <v>2</v>
      </c>
      <c r="B29" t="inlineStr">
        <is>
          <t>Электроника</t>
        </is>
      </c>
      <c r="C29" t="inlineStr">
        <is>
          <t>Volta LIVE 4.400, зал: 2 пары KEF (кан. 3 — под сабвуфер)</t>
        </is>
      </c>
      <c r="D29" t="inlineStr">
        <is>
          <t>шт</t>
        </is>
      </c>
      <c r="E29" t="n">
        <v>1</v>
      </c>
      <c r="F29" t="n">
        <v>31626</v>
      </c>
      <c r="G29">
        <f>E29*F29</f>
        <v/>
      </c>
      <c r="H29" s="5" t="inlineStr">
        <is>
          <t>Pult.ru</t>
        </is>
      </c>
      <c r="I29" t="inlineStr">
        <is>
          <t>в наличии; встречалась цена 25 984</t>
        </is>
      </c>
    </row>
    <row r="30">
      <c r="A30" t="n">
        <v>3</v>
      </c>
      <c r="B30" t="inlineStr">
        <is>
          <t>Электроника</t>
        </is>
      </c>
      <c r="C30" t="inlineStr">
        <is>
          <t>Lab.gruppen CA602, улица + туалет (2 × 60 Вт, 100 В)</t>
        </is>
      </c>
      <c r="D30" t="inlineStr">
        <is>
          <t>шт</t>
        </is>
      </c>
      <c r="E30" t="n">
        <v>0</v>
      </c>
      <c r="F30" t="n">
        <v>35330</v>
      </c>
      <c r="G30">
        <f>E30*F30</f>
        <v/>
      </c>
      <c r="H30" s="5" t="inlineStr">
        <is>
          <t>Pult.ru</t>
        </is>
      </c>
      <c r="I30" t="inlineStr">
        <is>
          <t>есть в наличии</t>
        </is>
      </c>
    </row>
    <row r="31">
      <c r="A31" t="n">
        <v>4</v>
      </c>
      <c r="B31" t="inlineStr">
        <is>
          <t>Электроника</t>
        </is>
      </c>
      <c r="C31" t="inlineStr">
        <is>
          <t>Lab.gruppen CRC-VEU, регулятор зоны</t>
        </is>
      </c>
      <c r="D31" t="inlineStr">
        <is>
          <t>шт</t>
        </is>
      </c>
      <c r="E31" t="n">
        <v>3</v>
      </c>
      <c r="F31" t="n">
        <v>6510</v>
      </c>
      <c r="G31">
        <f>E31*F31</f>
        <v/>
      </c>
      <c r="H31" s="5" t="inlineStr">
        <is>
          <t>Pult.ru</t>
        </is>
      </c>
      <c r="I31" t="inlineStr">
        <is>
          <t>зал, улица, туалет</t>
        </is>
      </c>
    </row>
    <row r="32">
      <c r="A32" t="n">
        <v>5</v>
      </c>
      <c r="B32" t="inlineStr">
        <is>
          <t>Электроника</t>
        </is>
      </c>
      <c r="C32" t="inlineStr">
        <is>
          <t>Рамка на 3 поста + подрозетники</t>
        </is>
      </c>
      <c r="D32" t="inlineStr">
        <is>
          <t>компл</t>
        </is>
      </c>
      <c r="E32" t="n">
        <v>1</v>
      </c>
      <c r="F32" t="n">
        <v>1500</v>
      </c>
      <c r="G32">
        <f>E32*F32</f>
        <v/>
      </c>
      <c r="H32" t="inlineStr"/>
      <c r="I32" t="inlineStr">
        <is>
          <t>оценка</t>
        </is>
      </c>
    </row>
    <row r="33">
      <c r="A33" t="n">
        <v>6</v>
      </c>
      <c r="B33" t="inlineStr">
        <is>
          <t>Электроника</t>
        </is>
      </c>
      <c r="C33" t="inlineStr">
        <is>
          <t>iPad</t>
        </is>
      </c>
      <c r="D33" t="inlineStr">
        <is>
          <t>шт</t>
        </is>
      </c>
      <c r="E33" t="n">
        <v>1</v>
      </c>
      <c r="F33" t="n">
        <v>25000</v>
      </c>
      <c r="G33">
        <f>E33*F33</f>
        <v/>
      </c>
      <c r="H33" t="inlineStr">
        <is>
          <t>Авито</t>
        </is>
      </c>
      <c r="I33" t="inlineStr">
        <is>
          <t>диапазон 17–25 тыс.</t>
        </is>
      </c>
    </row>
    <row r="34">
      <c r="A34" t="n">
        <v>7</v>
      </c>
      <c r="B34" t="inlineStr">
        <is>
          <t>Акустика</t>
        </is>
      </c>
      <c r="C34" t="inlineStr">
        <is>
          <t>KEF Q150, полочная акустика (пара)</t>
        </is>
      </c>
      <c r="D34" t="inlineStr">
        <is>
          <t>пара</t>
        </is>
      </c>
      <c r="E34" t="n">
        <v>2</v>
      </c>
      <c r="F34" t="n">
        <v>29000</v>
      </c>
      <c r="G34">
        <f>E34*F34</f>
        <v/>
      </c>
      <c r="H34" s="5" t="inlineStr">
        <is>
          <t>Audiomania</t>
        </is>
      </c>
      <c r="I34" t="inlineStr">
        <is>
          <t>акция на Аудиомании (было 52 000)</t>
        </is>
      </c>
    </row>
    <row r="35">
      <c r="A35" t="n">
        <v>8</v>
      </c>
      <c r="B35" t="inlineStr">
        <is>
          <t>Акустика</t>
        </is>
      </c>
      <c r="C35" t="inlineStr">
        <is>
          <t>CVGaudio OSR608TBL, улица, 100 В / 20 Вт, IP65</t>
        </is>
      </c>
      <c r="D35" t="inlineStr">
        <is>
          <t>шт</t>
        </is>
      </c>
      <c r="E35" t="n">
        <v>1</v>
      </c>
      <c r="F35" t="n">
        <v>9417</v>
      </c>
      <c r="G35">
        <f>E35*F35</f>
        <v/>
      </c>
      <c r="H35" s="5" t="inlineStr">
        <is>
          <t>Pult.ru</t>
        </is>
      </c>
      <c r="I35" t="inlineStr"/>
    </row>
    <row r="36">
      <c r="A36" t="n">
        <v>9</v>
      </c>
      <c r="B36" t="inlineStr">
        <is>
          <t>Акустика</t>
        </is>
      </c>
      <c r="C36" t="inlineStr">
        <is>
          <t>CVGaudio CRH608T, туалет, 100 В / 8 Вт</t>
        </is>
      </c>
      <c r="D36" t="inlineStr">
        <is>
          <t>шт</t>
        </is>
      </c>
      <c r="E36" t="n">
        <v>0</v>
      </c>
      <c r="F36" t="n">
        <v>6150</v>
      </c>
      <c r="G36">
        <f>E36*F36</f>
        <v/>
      </c>
      <c r="H36" s="5" t="inlineStr">
        <is>
          <t>CVG</t>
        </is>
      </c>
      <c r="I36" t="inlineStr">
        <is>
          <t>есть в наличии</t>
        </is>
      </c>
    </row>
    <row r="37">
      <c r="A37" t="n">
        <v>10</v>
      </c>
      <c r="B37" t="inlineStr">
        <is>
          <t>Шкаф</t>
        </is>
      </c>
      <c r="C37" t="inlineStr">
        <is>
          <t>Шкаф настенный 19″ 9U Wize Pro W9U45R</t>
        </is>
      </c>
      <c r="D37" t="inlineStr">
        <is>
          <t>шт</t>
        </is>
      </c>
      <c r="E37" t="n">
        <v>1</v>
      </c>
      <c r="F37" t="n">
        <v>17869</v>
      </c>
      <c r="G37">
        <f>E37*F37</f>
        <v/>
      </c>
      <c r="H37" s="5" t="inlineStr">
        <is>
          <t>Pult.ru</t>
        </is>
      </c>
      <c r="I37" t="inlineStr"/>
    </row>
    <row r="38">
      <c r="A38" t="n">
        <v>11</v>
      </c>
      <c r="B38" t="inlineStr">
        <is>
          <t>Шкаф и материалы</t>
        </is>
      </c>
      <c r="C38" t="inlineStr">
        <is>
          <t>Блок розеток 19″ 1U с выключателем</t>
        </is>
      </c>
      <c r="D38" t="inlineStr">
        <is>
          <t>шт</t>
        </is>
      </c>
      <c r="E38" t="n">
        <v>1</v>
      </c>
      <c r="F38" t="n">
        <v>1755</v>
      </c>
      <c r="G38">
        <f>E38*F38</f>
        <v/>
      </c>
      <c r="H38" s="5" t="inlineStr">
        <is>
          <t>ВсеИнструменты</t>
        </is>
      </c>
      <c r="I38" t="inlineStr">
        <is>
          <t>Gembird MAX19-EH8</t>
        </is>
      </c>
    </row>
    <row r="39">
      <c r="A39" t="n">
        <v>12</v>
      </c>
      <c r="B39" t="inlineStr">
        <is>
          <t>Шкаф и материалы</t>
        </is>
      </c>
      <c r="C39" t="inlineStr">
        <is>
          <t>Кронштейн настенный металлический для планшетов 4–13″</t>
        </is>
      </c>
      <c r="D39" t="inlineStr">
        <is>
          <t>шт</t>
        </is>
      </c>
      <c r="E39" t="n">
        <v>1</v>
      </c>
      <c r="F39" t="n">
        <v>2278</v>
      </c>
      <c r="G39">
        <f>E39*F39</f>
        <v/>
      </c>
      <c r="H39" s="5" t="inlineStr">
        <is>
          <t>Ozon</t>
        </is>
      </c>
      <c r="I39" t="inlineStr">
        <is>
          <t>под iPad</t>
        </is>
      </c>
    </row>
    <row r="40">
      <c r="A40" t="n">
        <v>13</v>
      </c>
      <c r="B40" t="inlineStr">
        <is>
          <t>Коммутация</t>
        </is>
      </c>
      <c r="C40" t="inlineStr">
        <is>
          <t>Кабель: 2×1,5 (пары), 2×1,5 (саб, 100 В), уличный, Cat5e ×3</t>
        </is>
      </c>
      <c r="D40" t="inlineStr">
        <is>
          <t>компл</t>
        </is>
      </c>
      <c r="E40" t="n">
        <v>1</v>
      </c>
      <c r="F40" t="n">
        <v>20000</v>
      </c>
      <c r="G40">
        <f>E40*F40</f>
        <v/>
      </c>
      <c r="H40" t="inlineStr"/>
      <c r="I40" t="inlineStr">
        <is>
          <t>примерно, нужен расчёт длины трасс</t>
        </is>
      </c>
    </row>
    <row r="41">
      <c r="A41" t="n">
        <v>14</v>
      </c>
      <c r="B41" t="inlineStr">
        <is>
          <t>Шкаф и материалы</t>
        </is>
      </c>
      <c r="C41" t="inlineStr">
        <is>
          <t>Кронштейны для KEF, расходные материалы</t>
        </is>
      </c>
      <c r="D41" t="inlineStr">
        <is>
          <t>компл</t>
        </is>
      </c>
      <c r="E41" t="n">
        <v>1</v>
      </c>
      <c r="F41" t="n">
        <v>12000</v>
      </c>
      <c r="G41">
        <f>E41*F41</f>
        <v/>
      </c>
      <c r="H41" t="inlineStr"/>
      <c r="I41" t="inlineStr"/>
    </row>
    <row r="42">
      <c r="C42" s="4" t="inlineStr">
        <is>
          <t>Итого</t>
        </is>
      </c>
      <c r="G42" s="4">
        <f>SUM(G28:G41)</f>
        <v/>
      </c>
    </row>
    <row r="44">
      <c r="A44" s="2" t="inlineStr">
        <is>
          <t>Вариант A2: опция «сабвуфер»</t>
        </is>
      </c>
      <c r="B44" s="3" t="n"/>
      <c r="C44" s="3" t="n"/>
      <c r="D44" s="3" t="n"/>
      <c r="E44" s="3" t="n"/>
      <c r="F44" s="3" t="n"/>
      <c r="G44" s="3" t="n"/>
      <c r="H44" s="3" t="n"/>
      <c r="I44" s="3" t="n"/>
    </row>
    <row r="45">
      <c r="A45" s="4" t="inlineStr">
        <is>
          <t>№</t>
        </is>
      </c>
      <c r="B45" s="4" t="inlineStr">
        <is>
          <t>Раздел</t>
        </is>
      </c>
      <c r="C45" s="4" t="inlineStr">
        <is>
          <t>Наименование</t>
        </is>
      </c>
      <c r="D45" s="4" t="inlineStr">
        <is>
          <t>Ед.</t>
        </is>
      </c>
      <c r="E45" s="4" t="inlineStr">
        <is>
          <t>Кол-во</t>
        </is>
      </c>
      <c r="F45" s="4" t="inlineStr">
        <is>
          <t>Цена, ₽</t>
        </is>
      </c>
      <c r="G45" s="4" t="inlineStr">
        <is>
          <t>Сумма, ₽</t>
        </is>
      </c>
      <c r="H45" s="4" t="inlineStr">
        <is>
          <t>Где купить</t>
        </is>
      </c>
      <c r="I45" s="4" t="inlineStr">
        <is>
          <t>Примечание</t>
        </is>
      </c>
    </row>
    <row r="46">
      <c r="A46" t="n">
        <v>1</v>
      </c>
      <c r="B46" t="inlineStr">
        <is>
          <t>Опция</t>
        </is>
      </c>
      <c r="C46" t="inlineStr">
        <is>
          <t>Radiotehnika Alfa 1.04 MKII, активный сабвуфер 10″</t>
        </is>
      </c>
      <c r="D46" t="inlineStr">
        <is>
          <t>шт</t>
        </is>
      </c>
      <c r="E46" t="n">
        <v>1</v>
      </c>
      <c r="F46" t="n">
        <v>49990</v>
      </c>
      <c r="G46">
        <f>E46*F46</f>
        <v/>
      </c>
      <c r="H46" s="5" t="inlineStr">
        <is>
          <t>Audiomania</t>
        </is>
      </c>
      <c r="I46" t="inlineStr">
        <is>
          <t>к каналу 3 Volta, розетка 230 В</t>
        </is>
      </c>
    </row>
    <row r="47">
      <c r="C47" s="4" t="inlineStr">
        <is>
          <t>Итого</t>
        </is>
      </c>
      <c r="G47" s="4">
        <f>SUM(G46:G46)</f>
        <v/>
      </c>
    </row>
    <row r="49">
      <c r="A49" s="2" t="inlineStr">
        <is>
          <t>Вариант B: CVGaudio 100 В, самый простой (один M-123Tm)</t>
        </is>
      </c>
      <c r="B49" s="3" t="n"/>
      <c r="C49" s="3" t="n"/>
      <c r="D49" s="3" t="n"/>
      <c r="E49" s="3" t="n"/>
      <c r="F49" s="3" t="n"/>
      <c r="G49" s="3" t="n"/>
      <c r="H49" s="3" t="n"/>
      <c r="I49" s="3" t="n"/>
    </row>
    <row r="50">
      <c r="A50" s="4" t="inlineStr">
        <is>
          <t>№</t>
        </is>
      </c>
      <c r="B50" s="4" t="inlineStr">
        <is>
          <t>Раздел</t>
        </is>
      </c>
      <c r="C50" s="4" t="inlineStr">
        <is>
          <t>Наименование</t>
        </is>
      </c>
      <c r="D50" s="4" t="inlineStr">
        <is>
          <t>Ед.</t>
        </is>
      </c>
      <c r="E50" s="4" t="inlineStr">
        <is>
          <t>Кол-во</t>
        </is>
      </c>
      <c r="F50" s="4" t="inlineStr">
        <is>
          <t>Цена, ₽</t>
        </is>
      </c>
      <c r="G50" s="4" t="inlineStr">
        <is>
          <t>Сумма, ₽</t>
        </is>
      </c>
      <c r="H50" s="4" t="inlineStr">
        <is>
          <t>Где купить</t>
        </is>
      </c>
      <c r="I50" s="4" t="inlineStr">
        <is>
          <t>Примечание</t>
        </is>
      </c>
    </row>
    <row r="51">
      <c r="A51" t="n">
        <v>1</v>
      </c>
      <c r="B51" t="inlineStr">
        <is>
          <t>Электроника</t>
        </is>
      </c>
      <c r="C51" t="inlineStr">
        <is>
          <t>CVGaudio M-123Tm, микшер-усилитель 120 Вт / 100 В, MP3/FM/BT</t>
        </is>
      </c>
      <c r="D51" t="inlineStr">
        <is>
          <t>шт</t>
        </is>
      </c>
      <c r="E51" t="n">
        <v>1</v>
      </c>
      <c r="F51" t="n">
        <v>43206</v>
      </c>
      <c r="G51">
        <f>E51*F51</f>
        <v/>
      </c>
      <c r="H51" s="5" t="inlineStr">
        <is>
          <t>CVG</t>
        </is>
      </c>
      <c r="I51" t="inlineStr">
        <is>
          <t>все три зоны</t>
        </is>
      </c>
    </row>
    <row r="52">
      <c r="A52" t="n">
        <v>2</v>
      </c>
      <c r="B52" t="inlineStr">
        <is>
          <t>Электроника</t>
        </is>
      </c>
      <c r="C52" t="inlineStr">
        <is>
          <t>CVGaudio VA-1100, регулятор «Зал» (100 Вт)</t>
        </is>
      </c>
      <c r="D52" t="inlineStr">
        <is>
          <t>шт</t>
        </is>
      </c>
      <c r="E52" t="n">
        <v>1</v>
      </c>
      <c r="F52" t="n">
        <v>4246</v>
      </c>
      <c r="G52">
        <f>E52*F52</f>
        <v/>
      </c>
      <c r="H52" s="5" t="inlineStr">
        <is>
          <t>Pult.ru</t>
        </is>
      </c>
      <c r="I52" t="inlineStr"/>
    </row>
    <row r="53">
      <c r="A53" t="n">
        <v>3</v>
      </c>
      <c r="B53" t="inlineStr">
        <is>
          <t>Электроника</t>
        </is>
      </c>
      <c r="C53" t="inlineStr">
        <is>
          <t>CVGaudio VA-1100, регулятор «Улица» (100 Вт)</t>
        </is>
      </c>
      <c r="D53" t="inlineStr">
        <is>
          <t>шт</t>
        </is>
      </c>
      <c r="E53" t="n">
        <v>1</v>
      </c>
      <c r="F53" t="n">
        <v>4246</v>
      </c>
      <c r="G53">
        <f>E53*F53</f>
        <v/>
      </c>
      <c r="H53" s="5" t="inlineStr">
        <is>
          <t>Pult.ru</t>
        </is>
      </c>
      <c r="I53" t="inlineStr"/>
    </row>
    <row r="54">
      <c r="A54" t="n">
        <v>4</v>
      </c>
      <c r="B54" t="inlineStr">
        <is>
          <t>Электроника</t>
        </is>
      </c>
      <c r="C54" t="inlineStr">
        <is>
          <t>CVGaudio VA-110, регулятор «Туалет» (10 Вт)</t>
        </is>
      </c>
      <c r="D54" t="inlineStr">
        <is>
          <t>шт</t>
        </is>
      </c>
      <c r="E54" t="n">
        <v>1</v>
      </c>
      <c r="F54" t="n">
        <v>2393</v>
      </c>
      <c r="G54">
        <f>E54*F54</f>
        <v/>
      </c>
      <c r="H54" s="5" t="inlineStr">
        <is>
          <t>Pult.ru</t>
        </is>
      </c>
      <c r="I54" t="inlineStr"/>
    </row>
    <row r="55">
      <c r="A55" t="n">
        <v>5</v>
      </c>
      <c r="B55" t="inlineStr">
        <is>
          <t>Электроника</t>
        </is>
      </c>
      <c r="C55" t="inlineStr">
        <is>
          <t>Рамка / подрозетники под регуляторы</t>
        </is>
      </c>
      <c r="D55" t="inlineStr">
        <is>
          <t>компл</t>
        </is>
      </c>
      <c r="E55" t="n">
        <v>1</v>
      </c>
      <c r="F55" t="n">
        <v>1500</v>
      </c>
      <c r="G55">
        <f>E55*F55</f>
        <v/>
      </c>
      <c r="H55" t="inlineStr"/>
      <c r="I55" t="inlineStr">
        <is>
          <t>оценка</t>
        </is>
      </c>
    </row>
    <row r="56">
      <c r="A56" t="n">
        <v>6</v>
      </c>
      <c r="B56" t="inlineStr">
        <is>
          <t>Электроника</t>
        </is>
      </c>
      <c r="C56" t="inlineStr">
        <is>
          <t>iPad</t>
        </is>
      </c>
      <c r="D56" t="inlineStr">
        <is>
          <t>шт</t>
        </is>
      </c>
      <c r="E56" t="n">
        <v>1</v>
      </c>
      <c r="F56" t="n">
        <v>25000</v>
      </c>
      <c r="G56">
        <f>E56*F56</f>
        <v/>
      </c>
      <c r="H56" t="inlineStr">
        <is>
          <t>Авито</t>
        </is>
      </c>
      <c r="I56" t="inlineStr">
        <is>
          <t>диапазон 17–25 тыс.</t>
        </is>
      </c>
    </row>
    <row r="57">
      <c r="A57" t="n">
        <v>7</v>
      </c>
      <c r="B57" t="inlineStr">
        <is>
          <t>Электроника</t>
        </is>
      </c>
      <c r="C57" t="inlineStr">
        <is>
          <t>Кабель/адаптер iPad → RCA</t>
        </is>
      </c>
      <c r="D57" t="inlineStr">
        <is>
          <t>компл</t>
        </is>
      </c>
      <c r="E57" t="n">
        <v>1</v>
      </c>
      <c r="F57" t="n">
        <v>2000</v>
      </c>
      <c r="G57">
        <f>E57*F57</f>
        <v/>
      </c>
      <c r="H57" t="inlineStr"/>
      <c r="I57" t="inlineStr">
        <is>
          <t>оценка; или встроенный плеер</t>
        </is>
      </c>
    </row>
    <row r="58">
      <c r="A58" t="n">
        <v>8</v>
      </c>
      <c r="B58" t="inlineStr">
        <is>
          <t>Шкаф и материалы</t>
        </is>
      </c>
      <c r="C58" t="inlineStr">
        <is>
          <t>Кронштейн настенный металлический для планшетов 4–13″</t>
        </is>
      </c>
      <c r="D58" t="inlineStr">
        <is>
          <t>шт</t>
        </is>
      </c>
      <c r="E58" t="n">
        <v>1</v>
      </c>
      <c r="F58" t="n">
        <v>2278</v>
      </c>
      <c r="G58">
        <f>E58*F58</f>
        <v/>
      </c>
      <c r="H58" s="5" t="inlineStr">
        <is>
          <t>Ozon</t>
        </is>
      </c>
      <c r="I58" t="inlineStr">
        <is>
          <t>под iPad</t>
        </is>
      </c>
    </row>
    <row r="59">
      <c r="A59" t="n">
        <v>9</v>
      </c>
      <c r="B59" t="inlineStr">
        <is>
          <t>Шкаф</t>
        </is>
      </c>
      <c r="C59" t="inlineStr">
        <is>
          <t>Шкаф настенный 19″ 9U Wize Pro W9U45R</t>
        </is>
      </c>
      <c r="D59" t="inlineStr">
        <is>
          <t>шт</t>
        </is>
      </c>
      <c r="E59" t="n">
        <v>1</v>
      </c>
      <c r="F59" t="n">
        <v>17869</v>
      </c>
      <c r="G59">
        <f>E59*F59</f>
        <v/>
      </c>
      <c r="H59" s="5" t="inlineStr">
        <is>
          <t>Pult.ru</t>
        </is>
      </c>
      <c r="I59" t="inlineStr"/>
    </row>
    <row r="60">
      <c r="A60" t="n">
        <v>10</v>
      </c>
      <c r="B60" t="inlineStr">
        <is>
          <t>Акустика</t>
        </is>
      </c>
      <c r="C60" t="inlineStr">
        <is>
          <t>CVGaudio OSR608TBL, зал 4 шт + улица 1 шт, 100 В</t>
        </is>
      </c>
      <c r="D60" t="inlineStr">
        <is>
          <t>шт</t>
        </is>
      </c>
      <c r="E60" t="n">
        <v>5</v>
      </c>
      <c r="F60" t="n">
        <v>9417</v>
      </c>
      <c r="G60">
        <f>E60*F60</f>
        <v/>
      </c>
      <c r="H60" s="5" t="inlineStr">
        <is>
          <t>Pult.ru</t>
        </is>
      </c>
      <c r="I60" t="inlineStr"/>
    </row>
    <row r="61">
      <c r="A61" t="n">
        <v>11</v>
      </c>
      <c r="B61" t="inlineStr">
        <is>
          <t>Акустика</t>
        </is>
      </c>
      <c r="C61" t="inlineStr">
        <is>
          <t>CVGaudio CRH608T, туалет, 100 В / 8 Вт</t>
        </is>
      </c>
      <c r="D61" t="inlineStr">
        <is>
          <t>шт</t>
        </is>
      </c>
      <c r="E61" t="n">
        <v>0</v>
      </c>
      <c r="F61" t="n">
        <v>6150</v>
      </c>
      <c r="G61">
        <f>E61*F61</f>
        <v/>
      </c>
      <c r="H61" s="5" t="inlineStr">
        <is>
          <t>CVG</t>
        </is>
      </c>
      <c r="I61" t="inlineStr">
        <is>
          <t>есть в наличии</t>
        </is>
      </c>
    </row>
    <row r="62">
      <c r="A62" t="n">
        <v>12</v>
      </c>
      <c r="B62" t="inlineStr">
        <is>
          <t>Шкаф и материалы</t>
        </is>
      </c>
      <c r="C62" t="inlineStr">
        <is>
          <t>Кабель 2×1,5 (100 В), уличный кабель</t>
        </is>
      </c>
      <c r="D62" t="inlineStr">
        <is>
          <t>компл</t>
        </is>
      </c>
      <c r="E62" t="n">
        <v>1</v>
      </c>
      <c r="F62" t="n">
        <v>20000</v>
      </c>
      <c r="G62">
        <f>E62*F62</f>
        <v/>
      </c>
      <c r="H62" t="inlineStr"/>
      <c r="I62" t="inlineStr">
        <is>
          <t>примерно, нужен расчёт длины трасс</t>
        </is>
      </c>
    </row>
    <row r="63">
      <c r="A63" t="n">
        <v>13</v>
      </c>
      <c r="B63" t="inlineStr">
        <is>
          <t>Шкаф и материалы</t>
        </is>
      </c>
      <c r="C63" t="inlineStr">
        <is>
          <t>Расходные материалы (крепёж, коробки IP65)</t>
        </is>
      </c>
      <c r="D63" t="inlineStr">
        <is>
          <t>компл</t>
        </is>
      </c>
      <c r="E63" t="n">
        <v>1</v>
      </c>
      <c r="F63" t="n">
        <v>7000</v>
      </c>
      <c r="G63">
        <f>E63*F63</f>
        <v/>
      </c>
      <c r="H63" t="inlineStr"/>
      <c r="I63" t="inlineStr"/>
    </row>
    <row r="64">
      <c r="C64" s="4" t="inlineStr">
        <is>
          <t>Итого</t>
        </is>
      </c>
      <c r="G64" s="4">
        <f>SUM(G51:G63)</f>
        <v/>
      </c>
    </row>
    <row r="66">
      <c r="A66" s="2" t="inlineStr">
        <is>
          <t>Вариант C: Lab.gruppen 100 В (CA2401 + CA602), сабвуфер опционально</t>
        </is>
      </c>
      <c r="B66" s="3" t="n"/>
      <c r="C66" s="3" t="n"/>
      <c r="D66" s="3" t="n"/>
      <c r="E66" s="3" t="n"/>
      <c r="F66" s="3" t="n"/>
      <c r="G66" s="3" t="n"/>
      <c r="H66" s="3" t="n"/>
      <c r="I66" s="3" t="n"/>
    </row>
    <row r="67">
      <c r="A67" s="4" t="inlineStr">
        <is>
          <t>№</t>
        </is>
      </c>
      <c r="B67" s="4" t="inlineStr">
        <is>
          <t>Раздел</t>
        </is>
      </c>
      <c r="C67" s="4" t="inlineStr">
        <is>
          <t>Наименование</t>
        </is>
      </c>
      <c r="D67" s="4" t="inlineStr">
        <is>
          <t>Ед.</t>
        </is>
      </c>
      <c r="E67" s="4" t="inlineStr">
        <is>
          <t>Кол-во</t>
        </is>
      </c>
      <c r="F67" s="4" t="inlineStr">
        <is>
          <t>Цена, ₽</t>
        </is>
      </c>
      <c r="G67" s="4" t="inlineStr">
        <is>
          <t>Сумма, ₽</t>
        </is>
      </c>
      <c r="H67" s="4" t="inlineStr">
        <is>
          <t>Где купить</t>
        </is>
      </c>
      <c r="I67" s="4" t="inlineStr">
        <is>
          <t>Примечание</t>
        </is>
      </c>
    </row>
    <row r="68">
      <c r="A68" t="n">
        <v>1</v>
      </c>
      <c r="B68" t="inlineStr">
        <is>
          <t>Электроника</t>
        </is>
      </c>
      <c r="C68" t="inlineStr">
        <is>
          <t>Lab.gruppen CM82, микшер 8×2</t>
        </is>
      </c>
      <c r="D68" t="inlineStr">
        <is>
          <t>шт</t>
        </is>
      </c>
      <c r="E68" t="n">
        <v>1</v>
      </c>
      <c r="F68" t="n">
        <v>45071</v>
      </c>
      <c r="G68">
        <f>E68*F68</f>
        <v/>
      </c>
      <c r="H68" s="5" t="inlineStr">
        <is>
          <t>Pult.ru</t>
        </is>
      </c>
      <c r="I68" t="inlineStr"/>
    </row>
    <row r="69">
      <c r="A69" t="n">
        <v>2</v>
      </c>
      <c r="B69" t="inlineStr">
        <is>
          <t>Электроника</t>
        </is>
      </c>
      <c r="C69" t="inlineStr">
        <is>
          <t>Lab.gruppen CA2401, зал (100 В)</t>
        </is>
      </c>
      <c r="D69" t="inlineStr">
        <is>
          <t>шт</t>
        </is>
      </c>
      <c r="E69" t="n">
        <v>1</v>
      </c>
      <c r="F69" t="n">
        <v>50100</v>
      </c>
      <c r="G69">
        <f>E69*F69</f>
        <v/>
      </c>
      <c r="H69" s="5" t="inlineStr">
        <is>
          <t>Pult.ru</t>
        </is>
      </c>
      <c r="I69" t="inlineStr"/>
    </row>
    <row r="70">
      <c r="A70" t="n">
        <v>3</v>
      </c>
      <c r="B70" t="inlineStr">
        <is>
          <t>Электроника</t>
        </is>
      </c>
      <c r="C70" t="inlineStr">
        <is>
          <t>Lab.gruppen CA602, улица + туалет (100 В)</t>
        </is>
      </c>
      <c r="D70" t="inlineStr">
        <is>
          <t>шт</t>
        </is>
      </c>
      <c r="E70" t="n">
        <v>0</v>
      </c>
      <c r="F70" t="n">
        <v>44996</v>
      </c>
      <c r="G70">
        <f>E70*F70</f>
        <v/>
      </c>
      <c r="H70" s="5" t="inlineStr">
        <is>
          <t>Pult.ru</t>
        </is>
      </c>
      <c r="I70" t="inlineStr">
        <is>
          <t>есть в наличии</t>
        </is>
      </c>
    </row>
    <row r="71">
      <c r="A71" t="n">
        <v>4</v>
      </c>
      <c r="B71" t="inlineStr">
        <is>
          <t>Электроника</t>
        </is>
      </c>
      <c r="C71" t="inlineStr">
        <is>
          <t>Lab.gruppen CRC-VEU, регулятор зоны</t>
        </is>
      </c>
      <c r="D71" t="inlineStr">
        <is>
          <t>шт</t>
        </is>
      </c>
      <c r="E71" t="n">
        <v>3</v>
      </c>
      <c r="F71" t="n">
        <v>6510</v>
      </c>
      <c r="G71">
        <f>E71*F71</f>
        <v/>
      </c>
      <c r="H71" s="5" t="inlineStr">
        <is>
          <t>Pult.ru</t>
        </is>
      </c>
      <c r="I71" t="inlineStr">
        <is>
          <t>зал, улица, туалет</t>
        </is>
      </c>
    </row>
    <row r="72">
      <c r="A72" t="n">
        <v>5</v>
      </c>
      <c r="B72" t="inlineStr">
        <is>
          <t>Электроника</t>
        </is>
      </c>
      <c r="C72" t="inlineStr">
        <is>
          <t>Рамка на 3 поста + подрозетники</t>
        </is>
      </c>
      <c r="D72" t="inlineStr">
        <is>
          <t>компл</t>
        </is>
      </c>
      <c r="E72" t="n">
        <v>1</v>
      </c>
      <c r="F72" t="n">
        <v>1500</v>
      </c>
      <c r="G72">
        <f>E72*F72</f>
        <v/>
      </c>
      <c r="H72" t="inlineStr"/>
      <c r="I72" t="inlineStr">
        <is>
          <t>оценка</t>
        </is>
      </c>
    </row>
    <row r="73">
      <c r="A73" t="n">
        <v>6</v>
      </c>
      <c r="B73" t="inlineStr">
        <is>
          <t>Электроника</t>
        </is>
      </c>
      <c r="C73" t="inlineStr">
        <is>
          <t>iPad</t>
        </is>
      </c>
      <c r="D73" t="inlineStr">
        <is>
          <t>шт</t>
        </is>
      </c>
      <c r="E73" t="n">
        <v>1</v>
      </c>
      <c r="F73" t="n">
        <v>25000</v>
      </c>
      <c r="G73">
        <f>E73*F73</f>
        <v/>
      </c>
      <c r="H73" t="inlineStr">
        <is>
          <t>Авито</t>
        </is>
      </c>
      <c r="I73" t="inlineStr">
        <is>
          <t>диапазон 17–25 тыс.</t>
        </is>
      </c>
    </row>
    <row r="74">
      <c r="A74" t="n">
        <v>7</v>
      </c>
      <c r="B74" t="inlineStr">
        <is>
          <t>Акустика</t>
        </is>
      </c>
      <c r="C74" t="inlineStr">
        <is>
          <t>CVGaudio OSR608TBL, зал 4 шт (30 Вт) + улица 1 шт (20 Вт)</t>
        </is>
      </c>
      <c r="D74" t="inlineStr">
        <is>
          <t>шт</t>
        </is>
      </c>
      <c r="E74" t="n">
        <v>5</v>
      </c>
      <c r="F74" t="n">
        <v>9417</v>
      </c>
      <c r="G74">
        <f>E74*F74</f>
        <v/>
      </c>
      <c r="H74" s="5" t="inlineStr">
        <is>
          <t>Pult.ru</t>
        </is>
      </c>
      <c r="I74" t="inlineStr"/>
    </row>
    <row r="75">
      <c r="A75" t="n">
        <v>8</v>
      </c>
      <c r="B75" t="inlineStr">
        <is>
          <t>Акустика</t>
        </is>
      </c>
      <c r="C75" t="inlineStr">
        <is>
          <t>CVGaudio CRH608T, туалет, 100 В / 8 Вт</t>
        </is>
      </c>
      <c r="D75" t="inlineStr">
        <is>
          <t>шт</t>
        </is>
      </c>
      <c r="E75" t="n">
        <v>0</v>
      </c>
      <c r="F75" t="n">
        <v>6150</v>
      </c>
      <c r="G75">
        <f>E75*F75</f>
        <v/>
      </c>
      <c r="H75" s="5" t="inlineStr">
        <is>
          <t>CVG</t>
        </is>
      </c>
      <c r="I75" t="inlineStr">
        <is>
          <t>есть в наличии</t>
        </is>
      </c>
    </row>
    <row r="76">
      <c r="A76" t="n">
        <v>9</v>
      </c>
      <c r="B76" t="inlineStr">
        <is>
          <t>Шкаф</t>
        </is>
      </c>
      <c r="C76" t="inlineStr">
        <is>
          <t>Шкаф настенный 19″ 9U Wize Pro W9U45R</t>
        </is>
      </c>
      <c r="D76" t="inlineStr">
        <is>
          <t>шт</t>
        </is>
      </c>
      <c r="E76" t="n">
        <v>1</v>
      </c>
      <c r="F76" t="n">
        <v>17869</v>
      </c>
      <c r="G76">
        <f>E76*F76</f>
        <v/>
      </c>
      <c r="H76" s="5" t="inlineStr">
        <is>
          <t>Pult.ru</t>
        </is>
      </c>
      <c r="I76" t="inlineStr"/>
    </row>
    <row r="77">
      <c r="A77" t="n">
        <v>10</v>
      </c>
      <c r="B77" t="inlineStr">
        <is>
          <t>Шкаф и материалы</t>
        </is>
      </c>
      <c r="C77" t="inlineStr">
        <is>
          <t>Блок розеток 19″ 1U с выключателем MDX PDU-8E-10A-Sw</t>
        </is>
      </c>
      <c r="D77" t="inlineStr">
        <is>
          <t>шт</t>
        </is>
      </c>
      <c r="E77" t="n">
        <v>1</v>
      </c>
      <c r="F77" t="n">
        <v>2080</v>
      </c>
      <c r="G77">
        <f>E77*F77</f>
        <v/>
      </c>
      <c r="H77" s="5" t="inlineStr">
        <is>
          <t>Pult.ru</t>
        </is>
      </c>
      <c r="I77" t="inlineStr"/>
    </row>
    <row r="78">
      <c r="A78" t="n">
        <v>11</v>
      </c>
      <c r="B78" t="inlineStr">
        <is>
          <t>Шкаф и материалы</t>
        </is>
      </c>
      <c r="C78" t="inlineStr">
        <is>
          <t>Кронштейн настенный металлический для планшетов 4–13″</t>
        </is>
      </c>
      <c r="D78" t="inlineStr">
        <is>
          <t>шт</t>
        </is>
      </c>
      <c r="E78" t="n">
        <v>1</v>
      </c>
      <c r="F78" t="n">
        <v>2278</v>
      </c>
      <c r="G78">
        <f>E78*F78</f>
        <v/>
      </c>
      <c r="H78" s="5" t="inlineStr">
        <is>
          <t>Ozon</t>
        </is>
      </c>
      <c r="I78" t="inlineStr">
        <is>
          <t>под iPad</t>
        </is>
      </c>
    </row>
    <row r="79">
      <c r="A79" t="n">
        <v>12</v>
      </c>
      <c r="B79" t="inlineStr">
        <is>
          <t>Шкаф и материалы</t>
        </is>
      </c>
      <c r="C79" t="inlineStr">
        <is>
          <t>Кабель: 2×1,5 (100 В), уличный, Cat5e ×3, 2×2,5 под саб</t>
        </is>
      </c>
      <c r="D79" t="inlineStr">
        <is>
          <t>компл</t>
        </is>
      </c>
      <c r="E79" t="n">
        <v>1</v>
      </c>
      <c r="F79" t="n">
        <v>20000</v>
      </c>
      <c r="G79">
        <f>E79*F79</f>
        <v/>
      </c>
      <c r="H79" t="inlineStr"/>
      <c r="I79" t="inlineStr">
        <is>
          <t>примерно, нужен расчёт длины трасс</t>
        </is>
      </c>
    </row>
    <row r="80">
      <c r="A80" t="n">
        <v>13</v>
      </c>
      <c r="B80" t="inlineStr">
        <is>
          <t>Шкаф и материалы</t>
        </is>
      </c>
      <c r="C80" t="inlineStr">
        <is>
          <t>Расходные материалы</t>
        </is>
      </c>
      <c r="D80" t="inlineStr">
        <is>
          <t>компл</t>
        </is>
      </c>
      <c r="E80" t="n">
        <v>1</v>
      </c>
      <c r="F80" t="n">
        <v>8000</v>
      </c>
      <c r="G80">
        <f>E80*F80</f>
        <v/>
      </c>
      <c r="H80" t="inlineStr"/>
      <c r="I80" t="inlineStr">
        <is>
          <t>оценка</t>
        </is>
      </c>
    </row>
    <row r="81">
      <c r="C81" s="4" t="inlineStr">
        <is>
          <t>Итого</t>
        </is>
      </c>
      <c r="G81" s="4">
        <f>SUM(G68:G80)</f>
        <v/>
      </c>
    </row>
    <row r="83">
      <c r="A83" s="2" t="inlineStr">
        <is>
          <t>Вариант C: опция «сабвуфер»</t>
        </is>
      </c>
      <c r="B83" s="3" t="n"/>
      <c r="C83" s="3" t="n"/>
      <c r="D83" s="3" t="n"/>
      <c r="E83" s="3" t="n"/>
      <c r="F83" s="3" t="n"/>
      <c r="G83" s="3" t="n"/>
      <c r="H83" s="3" t="n"/>
      <c r="I83" s="3" t="n"/>
    </row>
    <row r="84">
      <c r="A84" s="4" t="inlineStr">
        <is>
          <t>№</t>
        </is>
      </c>
      <c r="B84" s="4" t="inlineStr">
        <is>
          <t>Раздел</t>
        </is>
      </c>
      <c r="C84" s="4" t="inlineStr">
        <is>
          <t>Наименование</t>
        </is>
      </c>
      <c r="D84" s="4" t="inlineStr">
        <is>
          <t>Ед.</t>
        </is>
      </c>
      <c r="E84" s="4" t="inlineStr">
        <is>
          <t>Кол-во</t>
        </is>
      </c>
      <c r="F84" s="4" t="inlineStr">
        <is>
          <t>Цена, ₽</t>
        </is>
      </c>
      <c r="G84" s="4" t="inlineStr">
        <is>
          <t>Сумма, ₽</t>
        </is>
      </c>
      <c r="H84" s="4" t="inlineStr">
        <is>
          <t>Где купить</t>
        </is>
      </c>
      <c r="I84" s="4" t="inlineStr">
        <is>
          <t>Примечание</t>
        </is>
      </c>
    </row>
    <row r="85">
      <c r="A85" t="n">
        <v>1</v>
      </c>
      <c r="B85" t="inlineStr">
        <is>
          <t>Опция</t>
        </is>
      </c>
      <c r="C85" t="inlineStr">
        <is>
          <t>Усилитель мощности Behringer KM750</t>
        </is>
      </c>
      <c r="D85" t="inlineStr">
        <is>
          <t>шт</t>
        </is>
      </c>
      <c r="E85" t="n">
        <v>1</v>
      </c>
      <c r="F85" t="n">
        <v>21475</v>
      </c>
      <c r="G85">
        <f>E85*F85</f>
        <v/>
      </c>
      <c r="H85" s="5" t="inlineStr">
        <is>
          <t>Pult.ru</t>
        </is>
      </c>
      <c r="I85" t="inlineStr">
        <is>
          <t>канал под сабвуфер</t>
        </is>
      </c>
    </row>
    <row r="86">
      <c r="A86" t="n">
        <v>2</v>
      </c>
      <c r="B86" t="inlineStr">
        <is>
          <t>Опция</t>
        </is>
      </c>
      <c r="C86" t="inlineStr">
        <is>
          <t>Radiotehnika Alfa 1.04 MKII, активный сабвуфер 10″</t>
        </is>
      </c>
      <c r="D86" t="inlineStr">
        <is>
          <t>шт</t>
        </is>
      </c>
      <c r="E86" t="n">
        <v>1</v>
      </c>
      <c r="F86" t="n">
        <v>49990</v>
      </c>
      <c r="G86">
        <f>E86*F86</f>
        <v/>
      </c>
      <c r="H86" s="5" t="inlineStr">
        <is>
          <t>Audiomania</t>
        </is>
      </c>
      <c r="I86" t="inlineStr"/>
    </row>
    <row r="87">
      <c r="C87" s="4" t="inlineStr">
        <is>
          <t>Итого</t>
        </is>
      </c>
      <c r="G87" s="4">
        <f>SUM(G85:G86)</f>
        <v/>
      </c>
    </row>
  </sheetData>
  <hyperlinks>
    <hyperlink xmlns:r="http://schemas.openxmlformats.org/officeDocument/2006/relationships" ref="H5" r:id="rId1"/>
    <hyperlink xmlns:r="http://schemas.openxmlformats.org/officeDocument/2006/relationships" ref="H6" r:id="rId2"/>
    <hyperlink xmlns:r="http://schemas.openxmlformats.org/officeDocument/2006/relationships" ref="H7" r:id="rId3"/>
    <hyperlink xmlns:r="http://schemas.openxmlformats.org/officeDocument/2006/relationships" ref="H8" r:id="rId4"/>
    <hyperlink xmlns:r="http://schemas.openxmlformats.org/officeDocument/2006/relationships" ref="H11" r:id="rId5"/>
    <hyperlink xmlns:r="http://schemas.openxmlformats.org/officeDocument/2006/relationships" ref="H12" r:id="rId6"/>
    <hyperlink xmlns:r="http://schemas.openxmlformats.org/officeDocument/2006/relationships" ref="H13" r:id="rId7"/>
    <hyperlink xmlns:r="http://schemas.openxmlformats.org/officeDocument/2006/relationships" ref="H14" r:id="rId8"/>
    <hyperlink xmlns:r="http://schemas.openxmlformats.org/officeDocument/2006/relationships" ref="H15" r:id="rId9"/>
    <hyperlink xmlns:r="http://schemas.openxmlformats.org/officeDocument/2006/relationships" ref="H16" r:id="rId10"/>
    <hyperlink xmlns:r="http://schemas.openxmlformats.org/officeDocument/2006/relationships" ref="H23" r:id="rId11"/>
    <hyperlink xmlns:r="http://schemas.openxmlformats.org/officeDocument/2006/relationships" ref="H28" r:id="rId12"/>
    <hyperlink xmlns:r="http://schemas.openxmlformats.org/officeDocument/2006/relationships" ref="H29" r:id="rId13"/>
    <hyperlink xmlns:r="http://schemas.openxmlformats.org/officeDocument/2006/relationships" ref="H30" r:id="rId14"/>
    <hyperlink xmlns:r="http://schemas.openxmlformats.org/officeDocument/2006/relationships" ref="H31" r:id="rId15"/>
    <hyperlink xmlns:r="http://schemas.openxmlformats.org/officeDocument/2006/relationships" ref="H34" r:id="rId16"/>
    <hyperlink xmlns:r="http://schemas.openxmlformats.org/officeDocument/2006/relationships" ref="H35" r:id="rId17"/>
    <hyperlink xmlns:r="http://schemas.openxmlformats.org/officeDocument/2006/relationships" ref="H36" r:id="rId18"/>
    <hyperlink xmlns:r="http://schemas.openxmlformats.org/officeDocument/2006/relationships" ref="H37" r:id="rId19"/>
    <hyperlink xmlns:r="http://schemas.openxmlformats.org/officeDocument/2006/relationships" ref="H38" r:id="rId20"/>
    <hyperlink xmlns:r="http://schemas.openxmlformats.org/officeDocument/2006/relationships" ref="H39" r:id="rId21"/>
    <hyperlink xmlns:r="http://schemas.openxmlformats.org/officeDocument/2006/relationships" ref="H46" r:id="rId22"/>
    <hyperlink xmlns:r="http://schemas.openxmlformats.org/officeDocument/2006/relationships" ref="H51" r:id="rId23"/>
    <hyperlink xmlns:r="http://schemas.openxmlformats.org/officeDocument/2006/relationships" ref="H52" r:id="rId24"/>
    <hyperlink xmlns:r="http://schemas.openxmlformats.org/officeDocument/2006/relationships" ref="H53" r:id="rId25"/>
    <hyperlink xmlns:r="http://schemas.openxmlformats.org/officeDocument/2006/relationships" ref="H54" r:id="rId26"/>
    <hyperlink xmlns:r="http://schemas.openxmlformats.org/officeDocument/2006/relationships" ref="H58" r:id="rId27"/>
    <hyperlink xmlns:r="http://schemas.openxmlformats.org/officeDocument/2006/relationships" ref="H59" r:id="rId28"/>
    <hyperlink xmlns:r="http://schemas.openxmlformats.org/officeDocument/2006/relationships" ref="H60" r:id="rId29"/>
    <hyperlink xmlns:r="http://schemas.openxmlformats.org/officeDocument/2006/relationships" ref="H61" r:id="rId30"/>
    <hyperlink xmlns:r="http://schemas.openxmlformats.org/officeDocument/2006/relationships" ref="H68" r:id="rId31"/>
    <hyperlink xmlns:r="http://schemas.openxmlformats.org/officeDocument/2006/relationships" ref="H69" r:id="rId32"/>
    <hyperlink xmlns:r="http://schemas.openxmlformats.org/officeDocument/2006/relationships" ref="H70" r:id="rId33"/>
    <hyperlink xmlns:r="http://schemas.openxmlformats.org/officeDocument/2006/relationships" ref="H71" r:id="rId34"/>
    <hyperlink xmlns:r="http://schemas.openxmlformats.org/officeDocument/2006/relationships" ref="H74" r:id="rId35"/>
    <hyperlink xmlns:r="http://schemas.openxmlformats.org/officeDocument/2006/relationships" ref="H75" r:id="rId36"/>
    <hyperlink xmlns:r="http://schemas.openxmlformats.org/officeDocument/2006/relationships" ref="H76" r:id="rId37"/>
    <hyperlink xmlns:r="http://schemas.openxmlformats.org/officeDocument/2006/relationships" ref="H77" r:id="rId38"/>
    <hyperlink xmlns:r="http://schemas.openxmlformats.org/officeDocument/2006/relationships" ref="H78" r:id="rId39"/>
    <hyperlink xmlns:r="http://schemas.openxmlformats.org/officeDocument/2006/relationships" ref="H85" r:id="rId40"/>
    <hyperlink xmlns:r="http://schemas.openxmlformats.org/officeDocument/2006/relationships" ref="H86" r:id="rId4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2026-10-22T10:00:00Z</dcterms:created>
  <dcterms:modified xmlns:dcterms="http://purl.org/dc/terms/" xmlns:xsi="http://www.w3.org/2001/XMLSchema-instance" xsi:type="dcterms:W3CDTF">2026-10-22T10:00:00Z</dcterms:modified>
</cp:coreProperties>
</file>