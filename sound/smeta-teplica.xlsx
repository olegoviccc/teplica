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Вариант A" sheetId="2" state="visible" r:id="rId2"/>
    <sheet xmlns:r="http://schemas.openxmlformats.org/officeDocument/2006/relationships" name="Вариант B" sheetId="3" state="visible" r:id="rId3"/>
    <sheet xmlns:r="http://schemas.openxmlformats.org/officeDocument/2006/relationships" name="Вариант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Теплица — примерная смета по вариантам</t>
        </is>
      </c>
    </row>
    <row r="2">
      <c r="A2" t="inlineStr">
        <is>
          <t>Зал 4 колонки, улица 2, туалет 2. Цены — ориентир (±15–20 %), октябрь 2026.</t>
        </is>
      </c>
    </row>
    <row r="4">
      <c r="A4" s="2" t="inlineStr">
        <is>
          <t>Вариант</t>
        </is>
      </c>
      <c r="B4" s="2" t="inlineStr">
        <is>
          <t>Итого, ₽</t>
        </is>
      </c>
      <c r="C4" s="2" t="inlineStr">
        <is>
          <t>Опция сабвуфер, ₽</t>
        </is>
      </c>
      <c r="D4" s="2" t="inlineStr">
        <is>
          <t>Итого с опцией, ₽</t>
        </is>
      </c>
    </row>
    <row r="5">
      <c r="A5" t="inlineStr">
        <is>
          <t>Вариант A — KEF Q350 + активный сабвуфер (Volta + CA602)</t>
        </is>
      </c>
      <c r="B5" s="3">
        <f>'Вариант A'!G19</f>
        <v/>
      </c>
      <c r="C5" s="3" t="n"/>
      <c r="D5" s="3" t="n"/>
    </row>
    <row r="6">
      <c r="A6" t="inlineStr">
        <is>
          <t>Вариант B — CVGaudio 100 В, самый простой</t>
        </is>
      </c>
      <c r="B6" s="3">
        <f>'Вариант B'!G15</f>
        <v/>
      </c>
      <c r="C6" s="3" t="n"/>
      <c r="D6" s="3" t="n"/>
    </row>
    <row r="7">
      <c r="A7" t="inlineStr">
        <is>
          <t>Вариант C — Lab.gruppen 100 В (+ сабвуфер опционально)</t>
        </is>
      </c>
      <c r="B7" s="3">
        <f>'Вариант C'!G17</f>
        <v/>
      </c>
      <c r="C7" s="3">
        <f>'Вариант C'!G22</f>
        <v/>
      </c>
      <c r="D7" s="3">
        <f>B7+C7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9" customWidth="1" min="4" max="4"/>
    <col width="8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Вариант A — KEF Q350 + активный сабвуфер (Volta + CA602)</t>
        </is>
      </c>
    </row>
    <row r="2">
      <c r="A2" t="inlineStr">
        <is>
          <t>Объект: Теплица · зал 4 колонки, улица 2, туалет 2 · цены — ориентир, окт. 2026</t>
        </is>
      </c>
    </row>
    <row r="4">
      <c r="A4" s="4" t="inlineStr">
        <is>
          <t>№</t>
        </is>
      </c>
      <c r="B4" s="4" t="inlineStr">
        <is>
          <t>Раздел</t>
        </is>
      </c>
      <c r="C4" s="4" t="inlineStr">
        <is>
          <t>Наименование</t>
        </is>
      </c>
      <c r="D4" s="4" t="inlineStr">
        <is>
          <t>Ед. изм.</t>
        </is>
      </c>
      <c r="E4" s="4" t="inlineStr">
        <is>
          <t>Кол-во</t>
        </is>
      </c>
      <c r="F4" s="4" t="inlineStr">
        <is>
          <t>Цена ед., ₽</t>
        </is>
      </c>
      <c r="G4" s="4" t="inlineStr">
        <is>
          <t>Сумма, ₽</t>
        </is>
      </c>
      <c r="H4" s="4" t="inlineStr">
        <is>
          <t>Источник / примечание</t>
        </is>
      </c>
    </row>
    <row r="5">
      <c r="A5" s="5" t="n">
        <v>1</v>
      </c>
      <c r="B5" s="5" t="inlineStr">
        <is>
          <t>Оборудование</t>
        </is>
      </c>
      <c r="C5" s="5" t="inlineStr">
        <is>
          <t>Lab.gruppen CM82 — микшер 8×2</t>
        </is>
      </c>
      <c r="D5" s="5" t="inlineStr">
        <is>
          <t>шт</t>
        </is>
      </c>
      <c r="E5" s="5" t="n">
        <v>1</v>
      </c>
      <c r="F5" s="6" t="n">
        <v>45071</v>
      </c>
      <c r="G5" s="6">
        <f>E5*F5</f>
        <v/>
      </c>
      <c r="H5" s="5" t="inlineStr">
        <is>
          <t>Pult.ru</t>
        </is>
      </c>
    </row>
    <row r="6">
      <c r="A6" s="5" t="n">
        <v>2</v>
      </c>
      <c r="B6" s="5" t="inlineStr">
        <is>
          <t>Оборудование</t>
        </is>
      </c>
      <c r="C6" s="5" t="inlineStr">
        <is>
          <t>Volta LIVE 4.400 — зал: 2 пары KEF + сабвуфер</t>
        </is>
      </c>
      <c r="D6" s="5" t="inlineStr">
        <is>
          <t>шт</t>
        </is>
      </c>
      <c r="E6" s="5" t="n">
        <v>1</v>
      </c>
      <c r="F6" s="6" t="n">
        <v>31626</v>
      </c>
      <c r="G6" s="6">
        <f>E6*F6</f>
        <v/>
      </c>
      <c r="H6" s="5" t="inlineStr">
        <is>
          <t>Pult.ru, в наличии (встречалась и 25 984)</t>
        </is>
      </c>
    </row>
    <row r="7">
      <c r="A7" s="5" t="n">
        <v>3</v>
      </c>
      <c r="B7" s="5" t="inlineStr">
        <is>
          <t>Оборудование</t>
        </is>
      </c>
      <c r="C7" s="5" t="inlineStr">
        <is>
          <t>Lab.gruppen CA602 — улица + туалет (2 × 60 Вт, 100 В)</t>
        </is>
      </c>
      <c r="D7" s="5" t="inlineStr">
        <is>
          <t>шт</t>
        </is>
      </c>
      <c r="E7" s="5" t="n">
        <v>1</v>
      </c>
      <c r="F7" s="6" t="n">
        <v>35330</v>
      </c>
      <c r="G7" s="6">
        <f>E7*F7</f>
        <v/>
      </c>
      <c r="H7" s="5" t="inlineStr">
        <is>
          <t>Pult.ru</t>
        </is>
      </c>
    </row>
    <row r="8">
      <c r="A8" s="5" t="n">
        <v>4</v>
      </c>
      <c r="B8" s="5" t="inlineStr">
        <is>
          <t>Оборудование</t>
        </is>
      </c>
      <c r="C8" s="5" t="inlineStr">
        <is>
          <t>Lab.gruppen CRC-VEU — регулятор зоны</t>
        </is>
      </c>
      <c r="D8" s="5" t="inlineStr">
        <is>
          <t>шт</t>
        </is>
      </c>
      <c r="E8" s="5" t="n">
        <v>3</v>
      </c>
      <c r="F8" s="6" t="n">
        <v>6510</v>
      </c>
      <c r="G8" s="6">
        <f>E8*F8</f>
        <v/>
      </c>
      <c r="H8" s="5" t="inlineStr">
        <is>
          <t>Pult.ru</t>
        </is>
      </c>
    </row>
    <row r="9">
      <c r="A9" s="5" t="n">
        <v>5</v>
      </c>
      <c r="B9" s="5" t="inlineStr">
        <is>
          <t>Оборудование</t>
        </is>
      </c>
      <c r="C9" s="5" t="inlineStr">
        <is>
          <t>Рамка на 3 поста + подрозетники</t>
        </is>
      </c>
      <c r="D9" s="5" t="inlineStr">
        <is>
          <t>компл</t>
        </is>
      </c>
      <c r="E9" s="5" t="n">
        <v>1</v>
      </c>
      <c r="F9" s="6" t="n">
        <v>1500</v>
      </c>
      <c r="G9" s="6">
        <f>E9*F9</f>
        <v/>
      </c>
      <c r="H9" s="5" t="inlineStr">
        <is>
          <t>оценка</t>
        </is>
      </c>
    </row>
    <row r="10">
      <c r="A10" s="5" t="n">
        <v>6</v>
      </c>
      <c r="B10" s="5" t="inlineStr">
        <is>
          <t>Акустика</t>
        </is>
      </c>
      <c r="C10" s="5" t="inlineStr">
        <is>
          <t>KEF Q350 — полочная акустика, пара</t>
        </is>
      </c>
      <c r="D10" s="5" t="inlineStr">
        <is>
          <t>пара</t>
        </is>
      </c>
      <c r="E10" s="5" t="n">
        <v>2</v>
      </c>
      <c r="F10" s="6" t="n">
        <v>39000</v>
      </c>
      <c r="G10" s="6">
        <f>E10*F10</f>
        <v/>
      </c>
      <c r="H10" s="5" t="inlineStr">
        <is>
          <t>цена заказчика (Pult.ru: 45 500)</t>
        </is>
      </c>
    </row>
    <row r="11">
      <c r="A11" s="5" t="n">
        <v>7</v>
      </c>
      <c r="B11" s="5" t="inlineStr">
        <is>
          <t>Акустика</t>
        </is>
      </c>
      <c r="C11" s="5" t="inlineStr">
        <is>
          <t>Radiotehnika Alfa 1.04 MKII — активный сабвуфер 10″</t>
        </is>
      </c>
      <c r="D11" s="5" t="inlineStr">
        <is>
          <t>шт</t>
        </is>
      </c>
      <c r="E11" s="5" t="n">
        <v>1</v>
      </c>
      <c r="F11" s="6" t="n">
        <v>49990</v>
      </c>
      <c r="G11" s="6">
        <f>E11*F11</f>
        <v/>
      </c>
      <c r="H11" s="5" t="inlineStr">
        <is>
          <t>Audiomania (на Pult.ru нет)</t>
        </is>
      </c>
    </row>
    <row r="12">
      <c r="A12" s="5" t="n">
        <v>8</v>
      </c>
      <c r="B12" s="5" t="inlineStr">
        <is>
          <t>Акустика</t>
        </is>
      </c>
      <c r="C12" s="5" t="inlineStr">
        <is>
          <t>CVGaudio OSR608TBL — улица, 100 В / 20 Вт, IP65</t>
        </is>
      </c>
      <c r="D12" s="5" t="inlineStr">
        <is>
          <t>шт</t>
        </is>
      </c>
      <c r="E12" s="5" t="n">
        <v>2</v>
      </c>
      <c r="F12" s="6" t="n">
        <v>9417</v>
      </c>
      <c r="G12" s="6">
        <f>E12*F12</f>
        <v/>
      </c>
      <c r="H12" s="5" t="inlineStr">
        <is>
          <t>Pult.ru</t>
        </is>
      </c>
    </row>
    <row r="13">
      <c r="A13" s="5" t="n">
        <v>9</v>
      </c>
      <c r="B13" s="5" t="inlineStr">
        <is>
          <t>Акустика</t>
        </is>
      </c>
      <c r="C13" s="5" t="inlineStr">
        <is>
          <t>CVGaudio NF4TBL — туалет, 100 В / 8 Вт</t>
        </is>
      </c>
      <c r="D13" s="5" t="inlineStr">
        <is>
          <t>шт</t>
        </is>
      </c>
      <c r="E13" s="5" t="n">
        <v>2</v>
      </c>
      <c r="F13" s="6" t="n">
        <v>6150</v>
      </c>
      <c r="G13" s="6">
        <f>E13*F13</f>
        <v/>
      </c>
      <c r="H13" s="5" t="inlineStr">
        <is>
          <t>Pult.ru</t>
        </is>
      </c>
    </row>
    <row r="14">
      <c r="A14" s="5" t="n">
        <v>10</v>
      </c>
      <c r="B14" s="5" t="inlineStr">
        <is>
          <t>Оборудование</t>
        </is>
      </c>
      <c r="C14" s="5" t="inlineStr">
        <is>
          <t>Сетевой плеер WiiM Pro</t>
        </is>
      </c>
      <c r="D14" s="5" t="inlineStr">
        <is>
          <t>шт</t>
        </is>
      </c>
      <c r="E14" s="5" t="n">
        <v>1</v>
      </c>
      <c r="F14" s="6" t="n">
        <v>22999</v>
      </c>
      <c r="G14" s="6">
        <f>E14*F14</f>
        <v/>
      </c>
      <c r="H14" s="5" t="inlineStr">
        <is>
          <t>Pult.ru</t>
        </is>
      </c>
    </row>
    <row r="15">
      <c r="A15" s="5" t="n">
        <v>11</v>
      </c>
      <c r="B15" s="5" t="inlineStr">
        <is>
          <t>Монтаж</t>
        </is>
      </c>
      <c r="C15" s="5" t="inlineStr">
        <is>
          <t>Шкаф настенный 19″ 9U (Wize Pro W9U45R)</t>
        </is>
      </c>
      <c r="D15" s="5" t="inlineStr">
        <is>
          <t>шт</t>
        </is>
      </c>
      <c r="E15" s="5" t="n">
        <v>1</v>
      </c>
      <c r="F15" s="6" t="n">
        <v>17535</v>
      </c>
      <c r="G15" s="6">
        <f>E15*F15</f>
        <v/>
      </c>
      <c r="H15" s="5" t="inlineStr">
        <is>
          <t>Pult.ru</t>
        </is>
      </c>
    </row>
    <row r="16">
      <c r="A16" s="5" t="n">
        <v>12</v>
      </c>
      <c r="B16" s="5" t="inlineStr">
        <is>
          <t>Монтаж</t>
        </is>
      </c>
      <c r="C16" s="5" t="inlineStr">
        <is>
          <t>Блок розеток 19″ с выключателем + полка 1U</t>
        </is>
      </c>
      <c r="D16" s="5" t="inlineStr">
        <is>
          <t>компл</t>
        </is>
      </c>
      <c r="E16" s="5" t="n">
        <v>1</v>
      </c>
      <c r="F16" s="6" t="n">
        <v>5000</v>
      </c>
      <c r="G16" s="6">
        <f>E16*F16</f>
        <v/>
      </c>
      <c r="H16" s="5" t="inlineStr">
        <is>
          <t>оценка</t>
        </is>
      </c>
    </row>
    <row r="17">
      <c r="A17" s="5" t="n">
        <v>13</v>
      </c>
      <c r="B17" s="5" t="inlineStr">
        <is>
          <t>Монтаж</t>
        </is>
      </c>
      <c r="C17" s="5" t="inlineStr">
        <is>
          <t>Кабель: 2×2,5 (пары), 2×1,5 (саб, 100 В), уличный, Cat5e ×3</t>
        </is>
      </c>
      <c r="D17" s="5" t="inlineStr">
        <is>
          <t>компл</t>
        </is>
      </c>
      <c r="E17" s="5" t="n">
        <v>1</v>
      </c>
      <c r="F17" s="6" t="n">
        <v>25000</v>
      </c>
      <c r="G17" s="6">
        <f>E17*F17</f>
        <v/>
      </c>
      <c r="H17" s="5" t="inlineStr">
        <is>
          <t>оценка, по длине трасс</t>
        </is>
      </c>
    </row>
    <row r="18">
      <c r="A18" s="5" t="n">
        <v>14</v>
      </c>
      <c r="B18" s="5" t="inlineStr">
        <is>
          <t>Монтаж</t>
        </is>
      </c>
      <c r="C18" s="5" t="inlineStr">
        <is>
          <t>Кронштейны для KEF, тросики, расходные материалы</t>
        </is>
      </c>
      <c r="D18" s="5" t="inlineStr">
        <is>
          <t>компл</t>
        </is>
      </c>
      <c r="E18" s="5" t="n">
        <v>1</v>
      </c>
      <c r="F18" s="6" t="n">
        <v>12000</v>
      </c>
      <c r="G18" s="6">
        <f>E18*F18</f>
        <v/>
      </c>
      <c r="H18" s="5" t="inlineStr">
        <is>
          <t>оценка</t>
        </is>
      </c>
    </row>
    <row r="19">
      <c r="A19" s="5" t="n"/>
      <c r="B19" s="5" t="n"/>
      <c r="C19" s="7" t="inlineStr">
        <is>
          <t>ИТОГО</t>
        </is>
      </c>
      <c r="D19" s="5" t="n"/>
      <c r="E19" s="5" t="n"/>
      <c r="F19" s="6" t="n"/>
      <c r="G19" s="8">
        <f>SUM(G5:G18)</f>
        <v/>
      </c>
      <c r="H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9" customWidth="1" min="4" max="4"/>
    <col width="8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Вариант B — CVGaudio 100 В, самый простой</t>
        </is>
      </c>
    </row>
    <row r="2">
      <c r="A2" t="inlineStr">
        <is>
          <t>Объект: Теплица · зал 4 колонки, улица 2, туалет 2 · цены — ориентир, окт. 2026</t>
        </is>
      </c>
    </row>
    <row r="4">
      <c r="A4" s="4" t="inlineStr">
        <is>
          <t>№</t>
        </is>
      </c>
      <c r="B4" s="4" t="inlineStr">
        <is>
          <t>Раздел</t>
        </is>
      </c>
      <c r="C4" s="4" t="inlineStr">
        <is>
          <t>Наименование</t>
        </is>
      </c>
      <c r="D4" s="4" t="inlineStr">
        <is>
          <t>Ед. изм.</t>
        </is>
      </c>
      <c r="E4" s="4" t="inlineStr">
        <is>
          <t>Кол-во</t>
        </is>
      </c>
      <c r="F4" s="4" t="inlineStr">
        <is>
          <t>Цена ед., ₽</t>
        </is>
      </c>
      <c r="G4" s="4" t="inlineStr">
        <is>
          <t>Сумма, ₽</t>
        </is>
      </c>
      <c r="H4" s="4" t="inlineStr">
        <is>
          <t>Источник / примечание</t>
        </is>
      </c>
    </row>
    <row r="5">
      <c r="A5" s="5" t="n">
        <v>1</v>
      </c>
      <c r="B5" s="5" t="inlineStr">
        <is>
          <t>Оборудование</t>
        </is>
      </c>
      <c r="C5" s="5" t="inlineStr">
        <is>
          <t>CVGaudio REBOX-T18 V.2 — 180 Вт / 100 В, MP3/FM/BT</t>
        </is>
      </c>
      <c r="D5" s="5" t="inlineStr">
        <is>
          <t>шт</t>
        </is>
      </c>
      <c r="E5" s="5" t="n">
        <v>1</v>
      </c>
      <c r="F5" s="6" t="n">
        <v>35269</v>
      </c>
      <c r="G5" s="6">
        <f>E5*F5</f>
        <v/>
      </c>
      <c r="H5" s="5" t="inlineStr">
        <is>
          <t>Pult.ru</t>
        </is>
      </c>
    </row>
    <row r="6">
      <c r="A6" s="5" t="n">
        <v>2</v>
      </c>
      <c r="B6" s="5" t="inlineStr">
        <is>
          <t>Оборудование</t>
        </is>
      </c>
      <c r="C6" s="5" t="inlineStr">
        <is>
          <t>CVGaudio VA-1100 — регулятор «ЗАЛ» (100 Вт)</t>
        </is>
      </c>
      <c r="D6" s="5" t="inlineStr">
        <is>
          <t>шт</t>
        </is>
      </c>
      <c r="E6" s="5" t="n">
        <v>1</v>
      </c>
      <c r="F6" s="6" t="n">
        <v>4246</v>
      </c>
      <c r="G6" s="6">
        <f>E6*F6</f>
        <v/>
      </c>
      <c r="H6" s="5" t="inlineStr">
        <is>
          <t>Pult.ru</t>
        </is>
      </c>
    </row>
    <row r="7">
      <c r="A7" s="5" t="n">
        <v>3</v>
      </c>
      <c r="B7" s="5" t="inlineStr">
        <is>
          <t>Оборудование</t>
        </is>
      </c>
      <c r="C7" s="5" t="inlineStr">
        <is>
          <t>CVGaudio VA-1100 — регулятор «УЛИЦА» (100 Вт)</t>
        </is>
      </c>
      <c r="D7" s="5" t="inlineStr">
        <is>
          <t>шт</t>
        </is>
      </c>
      <c r="E7" s="5" t="n">
        <v>1</v>
      </c>
      <c r="F7" s="6" t="n">
        <v>4246</v>
      </c>
      <c r="G7" s="6">
        <f>E7*F7</f>
        <v/>
      </c>
      <c r="H7" s="5" t="inlineStr">
        <is>
          <t>Pult.ru</t>
        </is>
      </c>
    </row>
    <row r="8">
      <c r="A8" s="5" t="n">
        <v>4</v>
      </c>
      <c r="B8" s="5" t="inlineStr">
        <is>
          <t>Оборудование</t>
        </is>
      </c>
      <c r="C8" s="5" t="inlineStr">
        <is>
          <t>CVGaudio VA-110 — регулятор «ТУАЛЕТ» (10 Вт)</t>
        </is>
      </c>
      <c r="D8" s="5" t="inlineStr">
        <is>
          <t>шт</t>
        </is>
      </c>
      <c r="E8" s="5" t="n">
        <v>1</v>
      </c>
      <c r="F8" s="6" t="n">
        <v>2393</v>
      </c>
      <c r="G8" s="6">
        <f>E8*F8</f>
        <v/>
      </c>
      <c r="H8" s="5" t="inlineStr">
        <is>
          <t>Pult.ru</t>
        </is>
      </c>
    </row>
    <row r="9">
      <c r="A9" s="5" t="n">
        <v>5</v>
      </c>
      <c r="B9" s="5" t="inlineStr">
        <is>
          <t>Оборудование</t>
        </is>
      </c>
      <c r="C9" s="5" t="inlineStr">
        <is>
          <t>Рамка / подрозетники под регуляторы</t>
        </is>
      </c>
      <c r="D9" s="5" t="inlineStr">
        <is>
          <t>компл</t>
        </is>
      </c>
      <c r="E9" s="5" t="n">
        <v>1</v>
      </c>
      <c r="F9" s="6" t="n">
        <v>1500</v>
      </c>
      <c r="G9" s="6">
        <f>E9*F9</f>
        <v/>
      </c>
      <c r="H9" s="5" t="inlineStr">
        <is>
          <t>оценка</t>
        </is>
      </c>
    </row>
    <row r="10">
      <c r="A10" s="5" t="n">
        <v>6</v>
      </c>
      <c r="B10" s="5" t="inlineStr">
        <is>
          <t>Акустика</t>
        </is>
      </c>
      <c r="C10" s="5" t="inlineStr">
        <is>
          <t>CVGaudio OSR608TBL — зал 4 шт + улица 2 шт, 100 В / 20 Вт</t>
        </is>
      </c>
      <c r="D10" s="5" t="inlineStr">
        <is>
          <t>шт</t>
        </is>
      </c>
      <c r="E10" s="5" t="n">
        <v>6</v>
      </c>
      <c r="F10" s="6" t="n">
        <v>9417</v>
      </c>
      <c r="G10" s="6">
        <f>E10*F10</f>
        <v/>
      </c>
      <c r="H10" s="5" t="inlineStr">
        <is>
          <t>Pult.ru</t>
        </is>
      </c>
    </row>
    <row r="11">
      <c r="A11" s="5" t="n">
        <v>7</v>
      </c>
      <c r="B11" s="5" t="inlineStr">
        <is>
          <t>Акустика</t>
        </is>
      </c>
      <c r="C11" s="5" t="inlineStr">
        <is>
          <t>CVGaudio NF4TBL — туалет, 100 В / 4 Вт</t>
        </is>
      </c>
      <c r="D11" s="5" t="inlineStr">
        <is>
          <t>шт</t>
        </is>
      </c>
      <c r="E11" s="5" t="n">
        <v>2</v>
      </c>
      <c r="F11" s="6" t="n">
        <v>6150</v>
      </c>
      <c r="G11" s="6">
        <f>E11*F11</f>
        <v/>
      </c>
      <c r="H11" s="5" t="inlineStr">
        <is>
          <t>Pult.ru</t>
        </is>
      </c>
    </row>
    <row r="12">
      <c r="A12" s="5" t="n">
        <v>8</v>
      </c>
      <c r="B12" s="5" t="inlineStr">
        <is>
          <t>Оборудование</t>
        </is>
      </c>
      <c r="C12" s="5" t="inlineStr">
        <is>
          <t>Кабель/адаптер iPad → RCA (или встроенный плеер T18)</t>
        </is>
      </c>
      <c r="D12" s="5" t="inlineStr">
        <is>
          <t>компл</t>
        </is>
      </c>
      <c r="E12" s="5" t="n">
        <v>1</v>
      </c>
      <c r="F12" s="6" t="n">
        <v>2000</v>
      </c>
      <c r="G12" s="6">
        <f>E12*F12</f>
        <v/>
      </c>
      <c r="H12" s="5" t="inlineStr">
        <is>
          <t>оценка</t>
        </is>
      </c>
    </row>
    <row r="13">
      <c r="A13" s="5" t="n">
        <v>9</v>
      </c>
      <c r="B13" s="5" t="inlineStr">
        <is>
          <t>Монтаж</t>
        </is>
      </c>
      <c r="C13" s="5" t="inlineStr">
        <is>
          <t>Кабель 2×1,5 (100 В), уличный кабель</t>
        </is>
      </c>
      <c r="D13" s="5" t="inlineStr">
        <is>
          <t>компл</t>
        </is>
      </c>
      <c r="E13" s="5" t="n">
        <v>1</v>
      </c>
      <c r="F13" s="6" t="n">
        <v>12000</v>
      </c>
      <c r="G13" s="6">
        <f>E13*F13</f>
        <v/>
      </c>
      <c r="H13" s="5" t="inlineStr">
        <is>
          <t>оценка, по длине трасс</t>
        </is>
      </c>
    </row>
    <row r="14">
      <c r="A14" s="5" t="n">
        <v>10</v>
      </c>
      <c r="B14" s="5" t="inlineStr">
        <is>
          <t>Монтаж</t>
        </is>
      </c>
      <c r="C14" s="5" t="inlineStr">
        <is>
          <t>Расходные материалы (крепёж, коробки IP65)</t>
        </is>
      </c>
      <c r="D14" s="5" t="inlineStr">
        <is>
          <t>компл</t>
        </is>
      </c>
      <c r="E14" s="5" t="n">
        <v>1</v>
      </c>
      <c r="F14" s="6" t="n">
        <v>7000</v>
      </c>
      <c r="G14" s="6">
        <f>E14*F14</f>
        <v/>
      </c>
      <c r="H14" s="5" t="inlineStr">
        <is>
          <t>как в смете В.О.</t>
        </is>
      </c>
    </row>
    <row r="15">
      <c r="A15" s="5" t="n"/>
      <c r="B15" s="5" t="n"/>
      <c r="C15" s="7" t="inlineStr">
        <is>
          <t>ИТОГО</t>
        </is>
      </c>
      <c r="D15" s="5" t="n"/>
      <c r="E15" s="5" t="n"/>
      <c r="F15" s="6" t="n"/>
      <c r="G15" s="8">
        <f>SUM(G5:G14)</f>
        <v/>
      </c>
      <c r="H1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9" customWidth="1" min="4" max="4"/>
    <col width="8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Вариант C — Lab.gruppen 100 В (+ сабвуфер опционально)</t>
        </is>
      </c>
    </row>
    <row r="2">
      <c r="A2" t="inlineStr">
        <is>
          <t>Объект: Теплица · зал 4 колонки, улица 2, туалет 2 · цены — ориентир, окт. 2026</t>
        </is>
      </c>
    </row>
    <row r="4">
      <c r="A4" s="4" t="inlineStr">
        <is>
          <t>№</t>
        </is>
      </c>
      <c r="B4" s="4" t="inlineStr">
        <is>
          <t>Раздел</t>
        </is>
      </c>
      <c r="C4" s="4" t="inlineStr">
        <is>
          <t>Наименование</t>
        </is>
      </c>
      <c r="D4" s="4" t="inlineStr">
        <is>
          <t>Ед. изм.</t>
        </is>
      </c>
      <c r="E4" s="4" t="inlineStr">
        <is>
          <t>Кол-во</t>
        </is>
      </c>
      <c r="F4" s="4" t="inlineStr">
        <is>
          <t>Цена ед., ₽</t>
        </is>
      </c>
      <c r="G4" s="4" t="inlineStr">
        <is>
          <t>Сумма, ₽</t>
        </is>
      </c>
      <c r="H4" s="4" t="inlineStr">
        <is>
          <t>Источник / примечание</t>
        </is>
      </c>
    </row>
    <row r="5">
      <c r="A5" s="5" t="n">
        <v>1</v>
      </c>
      <c r="B5" s="5" t="inlineStr">
        <is>
          <t>Оборудование</t>
        </is>
      </c>
      <c r="C5" s="5" t="inlineStr">
        <is>
          <t>Lab.gruppen CM82 — микшер 8×2</t>
        </is>
      </c>
      <c r="D5" s="5" t="inlineStr">
        <is>
          <t>шт</t>
        </is>
      </c>
      <c r="E5" s="5" t="n">
        <v>1</v>
      </c>
      <c r="F5" s="6" t="n">
        <v>45071</v>
      </c>
      <c r="G5" s="6">
        <f>E5*F5</f>
        <v/>
      </c>
      <c r="H5" s="5" t="inlineStr">
        <is>
          <t>Pult.ru</t>
        </is>
      </c>
    </row>
    <row r="6">
      <c r="A6" s="5" t="n">
        <v>2</v>
      </c>
      <c r="B6" s="5" t="inlineStr">
        <is>
          <t>Оборудование</t>
        </is>
      </c>
      <c r="C6" s="5" t="inlineStr">
        <is>
          <t>Lab.gruppen CA2401 — зал (100 В)</t>
        </is>
      </c>
      <c r="D6" s="5" t="inlineStr">
        <is>
          <t>шт</t>
        </is>
      </c>
      <c r="E6" s="5" t="n">
        <v>1</v>
      </c>
      <c r="F6" s="6" t="n">
        <v>50100</v>
      </c>
      <c r="G6" s="6">
        <f>E6*F6</f>
        <v/>
      </c>
      <c r="H6" s="5" t="inlineStr">
        <is>
          <t>Pult.ru</t>
        </is>
      </c>
    </row>
    <row r="7">
      <c r="A7" s="5" t="n">
        <v>3</v>
      </c>
      <c r="B7" s="5" t="inlineStr">
        <is>
          <t>Оборудование</t>
        </is>
      </c>
      <c r="C7" s="5" t="inlineStr">
        <is>
          <t>Lab.gruppen CA1202 — улица + туалет (100 В)</t>
        </is>
      </c>
      <c r="D7" s="5" t="inlineStr">
        <is>
          <t>шт</t>
        </is>
      </c>
      <c r="E7" s="5" t="n">
        <v>1</v>
      </c>
      <c r="F7" s="6" t="n">
        <v>44996</v>
      </c>
      <c r="G7" s="6">
        <f>E7*F7</f>
        <v/>
      </c>
      <c r="H7" s="5" t="inlineStr">
        <is>
          <t>Pult.ru (встречалась 42 502)</t>
        </is>
      </c>
    </row>
    <row r="8">
      <c r="A8" s="5" t="n">
        <v>4</v>
      </c>
      <c r="B8" s="5" t="inlineStr">
        <is>
          <t>Оборудование</t>
        </is>
      </c>
      <c r="C8" s="5" t="inlineStr">
        <is>
          <t>Lab.gruppen CRC-VEU — регулятор зоны</t>
        </is>
      </c>
      <c r="D8" s="5" t="inlineStr">
        <is>
          <t>шт</t>
        </is>
      </c>
      <c r="E8" s="5" t="n">
        <v>3</v>
      </c>
      <c r="F8" s="6" t="n">
        <v>6510</v>
      </c>
      <c r="G8" s="6">
        <f>E8*F8</f>
        <v/>
      </c>
      <c r="H8" s="5" t="inlineStr">
        <is>
          <t>Pult.ru</t>
        </is>
      </c>
    </row>
    <row r="9">
      <c r="A9" s="5" t="n">
        <v>5</v>
      </c>
      <c r="B9" s="5" t="inlineStr">
        <is>
          <t>Оборудование</t>
        </is>
      </c>
      <c r="C9" s="5" t="inlineStr">
        <is>
          <t>Рамка на 3 поста + подрозетники</t>
        </is>
      </c>
      <c r="D9" s="5" t="inlineStr">
        <is>
          <t>компл</t>
        </is>
      </c>
      <c r="E9" s="5" t="n">
        <v>1</v>
      </c>
      <c r="F9" s="6" t="n">
        <v>1500</v>
      </c>
      <c r="G9" s="6">
        <f>E9*F9</f>
        <v/>
      </c>
      <c r="H9" s="5" t="inlineStr">
        <is>
          <t>оценка</t>
        </is>
      </c>
    </row>
    <row r="10">
      <c r="A10" s="5" t="n">
        <v>6</v>
      </c>
      <c r="B10" s="5" t="inlineStr">
        <is>
          <t>Акустика</t>
        </is>
      </c>
      <c r="C10" s="5" t="inlineStr">
        <is>
          <t>CVGaudio OSR608TBL — зал 4 шт (30 Вт) + улица 2 шт (20 Вт)</t>
        </is>
      </c>
      <c r="D10" s="5" t="inlineStr">
        <is>
          <t>шт</t>
        </is>
      </c>
      <c r="E10" s="5" t="n">
        <v>6</v>
      </c>
      <c r="F10" s="6" t="n">
        <v>9417</v>
      </c>
      <c r="G10" s="6">
        <f>E10*F10</f>
        <v/>
      </c>
      <c r="H10" s="5" t="inlineStr">
        <is>
          <t>Pult.ru</t>
        </is>
      </c>
    </row>
    <row r="11">
      <c r="A11" s="5" t="n">
        <v>7</v>
      </c>
      <c r="B11" s="5" t="inlineStr">
        <is>
          <t>Акустика</t>
        </is>
      </c>
      <c r="C11" s="5" t="inlineStr">
        <is>
          <t>CVGaudio NF4TBL — туалет, 100 В / 8 Вт</t>
        </is>
      </c>
      <c r="D11" s="5" t="inlineStr">
        <is>
          <t>шт</t>
        </is>
      </c>
      <c r="E11" s="5" t="n">
        <v>2</v>
      </c>
      <c r="F11" s="6" t="n">
        <v>6150</v>
      </c>
      <c r="G11" s="6">
        <f>E11*F11</f>
        <v/>
      </c>
      <c r="H11" s="5" t="inlineStr">
        <is>
          <t>Pult.ru</t>
        </is>
      </c>
    </row>
    <row r="12">
      <c r="A12" s="5" t="n">
        <v>8</v>
      </c>
      <c r="B12" s="5" t="inlineStr">
        <is>
          <t>Оборудование</t>
        </is>
      </c>
      <c r="C12" s="5" t="inlineStr">
        <is>
          <t>Сетевой плеер WiiM Pro</t>
        </is>
      </c>
      <c r="D12" s="5" t="inlineStr">
        <is>
          <t>шт</t>
        </is>
      </c>
      <c r="E12" s="5" t="n">
        <v>1</v>
      </c>
      <c r="F12" s="6" t="n">
        <v>22999</v>
      </c>
      <c r="G12" s="6">
        <f>E12*F12</f>
        <v/>
      </c>
      <c r="H12" s="5" t="inlineStr">
        <is>
          <t>Pult.ru</t>
        </is>
      </c>
    </row>
    <row r="13">
      <c r="A13" s="5" t="n">
        <v>9</v>
      </c>
      <c r="B13" s="5" t="inlineStr">
        <is>
          <t>Монтаж</t>
        </is>
      </c>
      <c r="C13" s="5" t="inlineStr">
        <is>
          <t>Шкаф настенный 19″ 9U (Wize Pro W9U45R)</t>
        </is>
      </c>
      <c r="D13" s="5" t="inlineStr">
        <is>
          <t>шт</t>
        </is>
      </c>
      <c r="E13" s="5" t="n">
        <v>1</v>
      </c>
      <c r="F13" s="6" t="n">
        <v>17535</v>
      </c>
      <c r="G13" s="6">
        <f>E13*F13</f>
        <v/>
      </c>
      <c r="H13" s="5" t="inlineStr">
        <is>
          <t>Pult.ru</t>
        </is>
      </c>
    </row>
    <row r="14">
      <c r="A14" s="5" t="n">
        <v>10</v>
      </c>
      <c r="B14" s="5" t="inlineStr">
        <is>
          <t>Монтаж</t>
        </is>
      </c>
      <c r="C14" s="5" t="inlineStr">
        <is>
          <t>Блок розеток 19″ с выключателем + полка 1U</t>
        </is>
      </c>
      <c r="D14" s="5" t="inlineStr">
        <is>
          <t>компл</t>
        </is>
      </c>
      <c r="E14" s="5" t="n">
        <v>1</v>
      </c>
      <c r="F14" s="6" t="n">
        <v>5000</v>
      </c>
      <c r="G14" s="6">
        <f>E14*F14</f>
        <v/>
      </c>
      <c r="H14" s="5" t="inlineStr">
        <is>
          <t>оценка</t>
        </is>
      </c>
    </row>
    <row r="15">
      <c r="A15" s="5" t="n">
        <v>11</v>
      </c>
      <c r="B15" s="5" t="inlineStr">
        <is>
          <t>Монтаж</t>
        </is>
      </c>
      <c r="C15" s="5" t="inlineStr">
        <is>
          <t>Кабель: 2×1,5 (100 В), уличный, Cat5e ×3, 2×2,5 под саб</t>
        </is>
      </c>
      <c r="D15" s="5" t="inlineStr">
        <is>
          <t>компл</t>
        </is>
      </c>
      <c r="E15" s="5" t="n">
        <v>1</v>
      </c>
      <c r="F15" s="6" t="n">
        <v>18000</v>
      </c>
      <c r="G15" s="6">
        <f>E15*F15</f>
        <v/>
      </c>
      <c r="H15" s="5" t="inlineStr">
        <is>
          <t>оценка, трасса под саб — сразу</t>
        </is>
      </c>
    </row>
    <row r="16">
      <c r="A16" s="5" t="n">
        <v>12</v>
      </c>
      <c r="B16" s="5" t="inlineStr">
        <is>
          <t>Монтаж</t>
        </is>
      </c>
      <c r="C16" s="5" t="inlineStr">
        <is>
          <t>Расходные материалы</t>
        </is>
      </c>
      <c r="D16" s="5" t="inlineStr">
        <is>
          <t>компл</t>
        </is>
      </c>
      <c r="E16" s="5" t="n">
        <v>1</v>
      </c>
      <c r="F16" s="6" t="n">
        <v>8000</v>
      </c>
      <c r="G16" s="6">
        <f>E16*F16</f>
        <v/>
      </c>
      <c r="H16" s="5" t="inlineStr">
        <is>
          <t>оценка</t>
        </is>
      </c>
    </row>
    <row r="17">
      <c r="A17" s="5" t="n"/>
      <c r="B17" s="5" t="n"/>
      <c r="C17" s="7" t="inlineStr">
        <is>
          <t>ИТОГО</t>
        </is>
      </c>
      <c r="D17" s="5" t="n"/>
      <c r="E17" s="5" t="n"/>
      <c r="F17" s="6" t="n"/>
      <c r="G17" s="8">
        <f>SUM(G5:G16)</f>
        <v/>
      </c>
      <c r="H17" s="5" t="n"/>
    </row>
    <row r="18">
      <c r="A18" s="5" t="n"/>
      <c r="B18" s="5" t="n"/>
      <c r="C18" s="5" t="n"/>
      <c r="D18" s="5" t="n"/>
      <c r="E18" s="5" t="n"/>
      <c r="F18" s="6" t="n"/>
      <c r="G18" s="6" t="n"/>
      <c r="H18" s="5" t="n"/>
    </row>
    <row r="19">
      <c r="A19" s="5" t="n"/>
      <c r="B19" s="5" t="n"/>
      <c r="C19" s="7" t="inlineStr">
        <is>
          <t>Опция: сабвуфер</t>
        </is>
      </c>
      <c r="D19" s="5" t="n"/>
      <c r="E19" s="5" t="n"/>
      <c r="F19" s="6" t="n"/>
      <c r="G19" s="6" t="n"/>
      <c r="H19" s="5" t="n"/>
    </row>
    <row r="20">
      <c r="A20" s="5" t="n">
        <v>1</v>
      </c>
      <c r="B20" s="5" t="inlineStr">
        <is>
          <t>Опция: сабвуфер</t>
        </is>
      </c>
      <c r="C20" s="5" t="inlineStr">
        <is>
          <t>Lab.gruppen CA2401 — сабвуфер (8 Ом)</t>
        </is>
      </c>
      <c r="D20" s="5" t="inlineStr">
        <is>
          <t>шт</t>
        </is>
      </c>
      <c r="E20" s="5" t="n">
        <v>1</v>
      </c>
      <c r="F20" s="6" t="n">
        <v>50100</v>
      </c>
      <c r="G20" s="6">
        <f>E20*F20</f>
        <v/>
      </c>
      <c r="H20" s="5" t="inlineStr">
        <is>
          <t>Pult.ru</t>
        </is>
      </c>
    </row>
    <row r="21">
      <c r="A21" s="5" t="n">
        <v>2</v>
      </c>
      <c r="B21" s="5" t="inlineStr">
        <is>
          <t>Опция: сабвуфер</t>
        </is>
      </c>
      <c r="C21" s="5" t="inlineStr">
        <is>
          <t>Сабвуфер Tannoy VSX10 BP</t>
        </is>
      </c>
      <c r="D21" s="5" t="inlineStr">
        <is>
          <t>шт</t>
        </is>
      </c>
      <c r="E21" s="5" t="n">
        <v>1</v>
      </c>
      <c r="F21" s="6" t="n">
        <v>71340</v>
      </c>
      <c r="G21" s="6">
        <f>E21*F21</f>
        <v/>
      </c>
      <c r="H21" s="5" t="inlineStr">
        <is>
          <t>Pult.ru (чёрный; белый бывает со скидкой ~58 690)</t>
        </is>
      </c>
    </row>
    <row r="22">
      <c r="A22" s="5" t="n"/>
      <c r="B22" s="5" t="n"/>
      <c r="C22" s="7" t="inlineStr">
        <is>
          <t>ИТОГО опция</t>
        </is>
      </c>
      <c r="D22" s="5" t="n"/>
      <c r="E22" s="5" t="n"/>
      <c r="F22" s="6" t="n"/>
      <c r="G22" s="8">
        <f>SUM(G20:G21)</f>
        <v/>
      </c>
      <c r="H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2026-10-22T08:07:17Z</dcterms:created>
  <dcterms:modified xmlns:dcterms="http://purl.org/dc/terms/" xmlns:xsi="http://www.w3.org/2001/XMLSchema-instance" xsi:type="dcterms:W3CDTF">2026-10-22T08:07:17Z</dcterms:modified>
</cp:coreProperties>
</file>