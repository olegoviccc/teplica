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мет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7">
    <font>
      <name val="Calibri"/>
      <family val="2"/>
      <color theme="1"/>
      <sz val="11"/>
      <scheme val="minor"/>
    </font>
    <font>
      <color rgb="001155CC"/>
      <u val="single"/>
    </font>
    <font>
      <b val="1"/>
      <sz val="14"/>
    </font>
    <font>
      <i val="1"/>
      <color rgb="00666666"/>
    </font>
    <font>
      <b val="1"/>
      <color rgb="00FFFFFF"/>
      <sz val="12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3C4A63"/>
      </patternFill>
    </fill>
    <fill>
      <patternFill patternType="solid">
        <fgColor rgb="00E8E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5" fillId="3" borderId="0" pivotButton="0" quotePrefix="0" xfId="0"/>
    <xf numFmtId="164" fontId="5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ult.ru/product/miksher-lab-gruppen-cm82" TargetMode="External" Id="rId1"/><Relationship Type="http://schemas.openxmlformats.org/officeDocument/2006/relationships/hyperlink" Target="https://www.pult.ru/product/usilitel-moshchnosti-volta-live-4-400" TargetMode="External" Id="rId2"/><Relationship Type="http://schemas.openxmlformats.org/officeDocument/2006/relationships/hyperlink" Target="https://www.pult.ru/product/usilitel-lab-gruppen-lab-gruppen-ca602" TargetMode="External" Id="rId3"/><Relationship Type="http://schemas.openxmlformats.org/officeDocument/2006/relationships/hyperlink" Target="https://www.pult.ru/product/nastennyy-regulyator-lab-gruppen-lab-gruppen-crc-veu-bk" TargetMode="External" Id="rId4"/><Relationship Type="http://schemas.openxmlformats.org/officeDocument/2006/relationships/hyperlink" Target="https://www.pult.ru/product/setevoy-audiopleer-wiim-pro" TargetMode="External" Id="rId5"/><Relationship Type="http://schemas.openxmlformats.org/officeDocument/2006/relationships/hyperlink" Target="https://www.pult.ru/product/polochnaya-akustika-kef-q350-satin-black" TargetMode="External" Id="rId6"/><Relationship Type="http://schemas.openxmlformats.org/officeDocument/2006/relationships/hyperlink" Target="https://www.audiomania.ru/subwoofer/radiotehnika/radiotehnika_alfa_1-04_mk_ii.html" TargetMode="External" Id="rId7"/><Relationship Type="http://schemas.openxmlformats.org/officeDocument/2006/relationships/hyperlink" Target="https://www.pult.ru/product/ulichnaya-akusticheskaya-sistema-cvgaudio-osr608tbl" TargetMode="External" Id="rId8"/><Relationship Type="http://schemas.openxmlformats.org/officeDocument/2006/relationships/hyperlink" Target="https://cvg-rus.ru/catalog/gromkogovoriteli/nastennye/nf4tbl" TargetMode="External" Id="rId9"/><Relationship Type="http://schemas.openxmlformats.org/officeDocument/2006/relationships/hyperlink" Target="https://www.pult.ru/product/mebel-i-kronshteyny-dlya-hi-fi/nastennye-polki/" TargetMode="External" Id="rId10"/><Relationship Type="http://schemas.openxmlformats.org/officeDocument/2006/relationships/hyperlink" Target="https://www.pult.ru/product/blok-rozetok-19---mdx-pdu-8e-10a-sw" TargetMode="External" Id="rId11"/><Relationship Type="http://schemas.openxmlformats.org/officeDocument/2006/relationships/hyperlink" Target="https://www.pult.ru/product/euromet-eu-r-rp1-00536-rekovaya-polka--1u--stal-chernogo-cveta-" TargetMode="External" Id="rId12"/><Relationship Type="http://schemas.openxmlformats.org/officeDocument/2006/relationships/hyperlink" Target="https://www.pult.ru/product/usilitel-cvgaudio-rebox-t18-v-2" TargetMode="External" Id="rId13"/><Relationship Type="http://schemas.openxmlformats.org/officeDocument/2006/relationships/hyperlink" Target="https://www.pult.ru/product/regulyator-gromkosti-cvgaudio-va-1100" TargetMode="External" Id="rId14"/><Relationship Type="http://schemas.openxmlformats.org/officeDocument/2006/relationships/hyperlink" Target="https://www.pult.ru/product/regulyator-gromkosti-cvgaudio-va-1100" TargetMode="External" Id="rId15"/><Relationship Type="http://schemas.openxmlformats.org/officeDocument/2006/relationships/hyperlink" Target="https://www.pult.ru/product/regulyator-gromkosti-cvgaudio-va-110" TargetMode="External" Id="rId16"/><Relationship Type="http://schemas.openxmlformats.org/officeDocument/2006/relationships/hyperlink" Target="https://www.pult.ru/product/ulichnaya-akusticheskaya-sistema-cvgaudio-osr608tbl" TargetMode="External" Id="rId17"/><Relationship Type="http://schemas.openxmlformats.org/officeDocument/2006/relationships/hyperlink" Target="https://cvg-rus.ru/catalog/gromkogovoriteli/nastennye/nf4tbl" TargetMode="External" Id="rId18"/><Relationship Type="http://schemas.openxmlformats.org/officeDocument/2006/relationships/hyperlink" Target="https://www.pult.ru/product/miksher-lab-gruppen-cm82" TargetMode="External" Id="rId19"/><Relationship Type="http://schemas.openxmlformats.org/officeDocument/2006/relationships/hyperlink" Target="https://www.pult.ru/product/usilitel-installyacionnyy-lab-gruppen-ca2401" TargetMode="External" Id="rId20"/><Relationship Type="http://schemas.openxmlformats.org/officeDocument/2006/relationships/hyperlink" Target="https://www.pult.ru/product/usiliteli-moshchnosti/usiliteli-dvuhkanalnye/" TargetMode="External" Id="rId21"/><Relationship Type="http://schemas.openxmlformats.org/officeDocument/2006/relationships/hyperlink" Target="https://www.pult.ru/product/nastennyy-regulyator-lab-gruppen-lab-gruppen-crc-veu-bk" TargetMode="External" Id="rId22"/><Relationship Type="http://schemas.openxmlformats.org/officeDocument/2006/relationships/hyperlink" Target="https://www.pult.ru/product/setevoy-audiopleer-wiim-pro" TargetMode="External" Id="rId23"/><Relationship Type="http://schemas.openxmlformats.org/officeDocument/2006/relationships/hyperlink" Target="https://www.pult.ru/product/ulichnaya-akusticheskaya-sistema-cvgaudio-osr608tbl" TargetMode="External" Id="rId24"/><Relationship Type="http://schemas.openxmlformats.org/officeDocument/2006/relationships/hyperlink" Target="https://cvg-rus.ru/catalog/gromkogovoriteli/nastennye/nf4tbl" TargetMode="External" Id="rId25"/><Relationship Type="http://schemas.openxmlformats.org/officeDocument/2006/relationships/hyperlink" Target="https://www.pult.ru/product/mebel-i-kronshteyny-dlya-hi-fi/nastennye-polki/" TargetMode="External" Id="rId26"/><Relationship Type="http://schemas.openxmlformats.org/officeDocument/2006/relationships/hyperlink" Target="https://www.pult.ru/product/blok-rozetok-19---mdx-pdu-8e-10a-sw" TargetMode="External" Id="rId27"/><Relationship Type="http://schemas.openxmlformats.org/officeDocument/2006/relationships/hyperlink" Target="https://www.pult.ru/product/euromet-eu-r-rp1-00536-rekovaya-polka--1u--stal-chernogo-cveta-" TargetMode="External" Id="rId28"/><Relationship Type="http://schemas.openxmlformats.org/officeDocument/2006/relationships/hyperlink" Target="https://www.pult.ru/product/usilitel-installyacionnyy-lab-gruppen-ca2401" TargetMode="External" Id="rId29"/><Relationship Type="http://schemas.openxmlformats.org/officeDocument/2006/relationships/hyperlink" Target="https://www.pult.ru/product/professionalnaya-akustika/sabvufery-passivnye-pro/tannoy/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7" customWidth="1" min="4" max="4"/>
    <col width="8" customWidth="1" min="5" max="5"/>
    <col width="11" customWidth="1" min="6" max="6"/>
    <col width="12" customWidth="1" min="7" max="7"/>
    <col width="16" customWidth="1" min="8" max="8"/>
    <col width="44" customWidth="1" min="9" max="9"/>
  </cols>
  <sheetData>
    <row r="1">
      <c r="A1" s="1" t="inlineStr">
        <is>
          <t>Теплица: смета оборудования по вариантам A / B / C</t>
        </is>
      </c>
      <c r="F1" s="2" t="n"/>
      <c r="G1" s="2" t="n"/>
    </row>
    <row r="2">
      <c r="A2" s="3" t="inlineStr">
        <is>
          <t>Только оборудование и материалы, без работ и доставки. Цены: карточки Pult.ru (октябрь 2026), на дату заказа могут отличаться. «Оценка» — позиции без точной цены. Синие цены можно править, суммы пересчитаются.</t>
        </is>
      </c>
      <c r="F2" s="2" t="n"/>
      <c r="G2" s="2" t="n"/>
    </row>
    <row r="3">
      <c r="F3" s="2" t="n"/>
      <c r="G3" s="2" t="n"/>
    </row>
    <row r="4">
      <c r="A4" s="4" t="n"/>
      <c r="B4" s="4" t="inlineStr">
        <is>
          <t>Итог по вариантам</t>
        </is>
      </c>
      <c r="C4" s="4" t="n"/>
      <c r="D4" s="4" t="n"/>
      <c r="E4" s="4" t="n"/>
      <c r="F4" s="5" t="n"/>
      <c r="G4" s="5" t="inlineStr">
        <is>
          <t>Итого, ₽</t>
        </is>
      </c>
      <c r="H4" s="4" t="n"/>
      <c r="I4" s="4" t="n"/>
    </row>
    <row r="5">
      <c r="B5" s="6" t="inlineStr">
        <is>
          <t>Вариант A: KEF Q350 + активный сабвуфер (Volta LIVE 4.400 + CA602)</t>
        </is>
      </c>
      <c r="C5" s="6" t="n"/>
      <c r="F5" s="2" t="n"/>
      <c r="G5" s="7">
        <f>G27</f>
        <v/>
      </c>
    </row>
    <row r="6">
      <c r="B6" s="6" t="inlineStr">
        <is>
          <t>Вариант B: CVGaudio 100 В, самый простой (один REBOX-T18)</t>
        </is>
      </c>
      <c r="C6" s="6" t="n"/>
      <c r="F6" s="2" t="n"/>
      <c r="G6" s="7">
        <f>G41</f>
        <v/>
      </c>
    </row>
    <row r="7">
      <c r="B7" s="6" t="inlineStr">
        <is>
          <t>Вариант C: Lab.gruppen 100 В (CA2401 + CA1202), сабвуфер опционально</t>
        </is>
      </c>
      <c r="C7" s="6" t="n"/>
      <c r="F7" s="2" t="n"/>
      <c r="G7" s="7">
        <f>G58</f>
        <v/>
      </c>
    </row>
    <row r="8">
      <c r="B8" s="6" t="inlineStr">
        <is>
          <t>Вариант C + опция «сабвуфер»</t>
        </is>
      </c>
      <c r="C8" s="6" t="n"/>
      <c r="F8" s="2" t="n"/>
      <c r="G8" s="7">
        <f>G58+G61</f>
        <v/>
      </c>
    </row>
    <row r="9">
      <c r="F9" s="2" t="n"/>
      <c r="G9" s="2" t="n"/>
    </row>
    <row r="10">
      <c r="A10" s="8" t="inlineStr">
        <is>
          <t>Вариант A: KEF Q350 + активный сабвуфер (Volta LIVE 4.400 + CA602)</t>
        </is>
      </c>
      <c r="B10" s="9" t="n"/>
      <c r="C10" s="9" t="n"/>
      <c r="D10" s="9" t="n"/>
      <c r="E10" s="9" t="n"/>
      <c r="F10" s="10" t="n"/>
      <c r="G10" s="10" t="n"/>
      <c r="H10" s="9" t="n"/>
      <c r="I10" s="9" t="n"/>
    </row>
    <row r="11">
      <c r="A11" s="4" t="inlineStr">
        <is>
          <t>№</t>
        </is>
      </c>
      <c r="B11" s="4" t="inlineStr">
        <is>
          <t>Раздел</t>
        </is>
      </c>
      <c r="C11" s="4" t="inlineStr">
        <is>
          <t>Наименование</t>
        </is>
      </c>
      <c r="D11" s="4" t="inlineStr">
        <is>
          <t>Ед.</t>
        </is>
      </c>
      <c r="E11" s="4" t="inlineStr">
        <is>
          <t>Кол-во</t>
        </is>
      </c>
      <c r="F11" s="5" t="inlineStr">
        <is>
          <t>Цена, ₽</t>
        </is>
      </c>
      <c r="G11" s="5" t="inlineStr">
        <is>
          <t>Сумма, ₽</t>
        </is>
      </c>
      <c r="H11" s="4" t="inlineStr">
        <is>
          <t>Где купить</t>
        </is>
      </c>
      <c r="I11" s="4" t="inlineStr">
        <is>
          <t>Примечание</t>
        </is>
      </c>
    </row>
    <row r="12">
      <c r="A12" t="n">
        <v>1</v>
      </c>
      <c r="B12" t="inlineStr">
        <is>
          <t>Электроника</t>
        </is>
      </c>
      <c r="C12" t="inlineStr">
        <is>
          <t>Lab.gruppen CM82, микшер 8×2</t>
        </is>
      </c>
      <c r="D12" t="inlineStr">
        <is>
          <t>шт</t>
        </is>
      </c>
      <c r="E12" s="11" t="n">
        <v>1</v>
      </c>
      <c r="F12" s="12" t="n">
        <v>45071</v>
      </c>
      <c r="G12" s="2">
        <f>E12*F12</f>
        <v/>
      </c>
      <c r="H12" s="13" t="inlineStr">
        <is>
          <t>Pult.ru</t>
        </is>
      </c>
      <c r="I12" t="inlineStr"/>
    </row>
    <row r="13">
      <c r="A13" t="n">
        <v>2</v>
      </c>
      <c r="B13" t="inlineStr">
        <is>
          <t>Электроника</t>
        </is>
      </c>
      <c r="C13" t="inlineStr">
        <is>
          <t>Volta LIVE 4.400, зал: 2 пары KEF + сабвуфер</t>
        </is>
      </c>
      <c r="D13" t="inlineStr">
        <is>
          <t>шт</t>
        </is>
      </c>
      <c r="E13" s="11" t="n">
        <v>1</v>
      </c>
      <c r="F13" s="12" t="n">
        <v>31626</v>
      </c>
      <c r="G13" s="2">
        <f>E13*F13</f>
        <v/>
      </c>
      <c r="H13" s="13" t="inlineStr">
        <is>
          <t>Pult.ru</t>
        </is>
      </c>
      <c r="I13" t="inlineStr">
        <is>
          <t>в наличии; встречалась цена 25 984</t>
        </is>
      </c>
    </row>
    <row r="14">
      <c r="A14" t="n">
        <v>3</v>
      </c>
      <c r="B14" t="inlineStr">
        <is>
          <t>Электроника</t>
        </is>
      </c>
      <c r="C14" t="inlineStr">
        <is>
          <t>Lab.gruppen CA602, улица + туалет (2 × 60 Вт, 100 В)</t>
        </is>
      </c>
      <c r="D14" t="inlineStr">
        <is>
          <t>шт</t>
        </is>
      </c>
      <c r="E14" s="11" t="n">
        <v>1</v>
      </c>
      <c r="F14" s="12" t="n">
        <v>35330</v>
      </c>
      <c r="G14" s="2">
        <f>E14*F14</f>
        <v/>
      </c>
      <c r="H14" s="13" t="inlineStr">
        <is>
          <t>Pult.ru</t>
        </is>
      </c>
      <c r="I14" t="inlineStr"/>
    </row>
    <row r="15">
      <c r="A15" t="n">
        <v>4</v>
      </c>
      <c r="B15" t="inlineStr">
        <is>
          <t>Электроника</t>
        </is>
      </c>
      <c r="C15" t="inlineStr">
        <is>
          <t>Lab.gruppen CRC-VEU, регулятор зоны</t>
        </is>
      </c>
      <c r="D15" t="inlineStr">
        <is>
          <t>шт</t>
        </is>
      </c>
      <c r="E15" s="11" t="n">
        <v>3</v>
      </c>
      <c r="F15" s="12" t="n">
        <v>6510</v>
      </c>
      <c r="G15" s="2">
        <f>E15*F15</f>
        <v/>
      </c>
      <c r="H15" s="13" t="inlineStr">
        <is>
          <t>Pult.ru</t>
        </is>
      </c>
      <c r="I15" t="inlineStr">
        <is>
          <t>зал, улица, туалет</t>
        </is>
      </c>
    </row>
    <row r="16">
      <c r="A16" t="n">
        <v>5</v>
      </c>
      <c r="B16" t="inlineStr">
        <is>
          <t>Электроника</t>
        </is>
      </c>
      <c r="C16" t="inlineStr">
        <is>
          <t>Рамка на 3 поста + подрозетники</t>
        </is>
      </c>
      <c r="D16" t="inlineStr">
        <is>
          <t>компл</t>
        </is>
      </c>
      <c r="E16" s="11" t="n">
        <v>1</v>
      </c>
      <c r="F16" s="12" t="n">
        <v>1500</v>
      </c>
      <c r="G16" s="2">
        <f>E16*F16</f>
        <v/>
      </c>
      <c r="H16" t="inlineStr"/>
      <c r="I16" t="inlineStr">
        <is>
          <t>оценка</t>
        </is>
      </c>
    </row>
    <row r="17">
      <c r="A17" t="n">
        <v>6</v>
      </c>
      <c r="B17" t="inlineStr">
        <is>
          <t>Электроника</t>
        </is>
      </c>
      <c r="C17" t="inlineStr">
        <is>
          <t>Сетевой плеер WiiM Pro</t>
        </is>
      </c>
      <c r="D17" t="inlineStr">
        <is>
          <t>шт</t>
        </is>
      </c>
      <c r="E17" s="11" t="n">
        <v>1</v>
      </c>
      <c r="F17" s="12" t="n">
        <v>22999</v>
      </c>
      <c r="G17" s="2">
        <f>E17*F17</f>
        <v/>
      </c>
      <c r="H17" s="13" t="inlineStr">
        <is>
          <t>Pult.ru</t>
        </is>
      </c>
      <c r="I17" t="inlineStr">
        <is>
          <t>можно любой источник с линейным выходом</t>
        </is>
      </c>
    </row>
    <row r="18">
      <c r="A18" t="n">
        <v>7</v>
      </c>
      <c r="B18" t="inlineStr">
        <is>
          <t>Акустика</t>
        </is>
      </c>
      <c r="C18" t="inlineStr">
        <is>
          <t>KEF Q350, полочная акустика (пара)</t>
        </is>
      </c>
      <c r="D18" t="inlineStr">
        <is>
          <t>пара</t>
        </is>
      </c>
      <c r="E18" s="11" t="n">
        <v>2</v>
      </c>
      <c r="F18" s="12" t="n">
        <v>39000</v>
      </c>
      <c r="G18" s="2">
        <f>E18*F18</f>
        <v/>
      </c>
      <c r="H18" s="13" t="inlineStr">
        <is>
          <t>Pult.ru</t>
        </is>
      </c>
      <c r="I18" t="inlineStr">
        <is>
          <t>цена заказчика; на Pult.ru 45 500</t>
        </is>
      </c>
    </row>
    <row r="19">
      <c r="A19" t="n">
        <v>8</v>
      </c>
      <c r="B19" t="inlineStr">
        <is>
          <t>Акустика</t>
        </is>
      </c>
      <c r="C19" t="inlineStr">
        <is>
          <t>Radiotehnika Alfa 1.04 MKII, активный сабвуфер 10″</t>
        </is>
      </c>
      <c r="D19" t="inlineStr">
        <is>
          <t>шт</t>
        </is>
      </c>
      <c r="E19" s="11" t="n">
        <v>1</v>
      </c>
      <c r="F19" s="12" t="n">
        <v>49990</v>
      </c>
      <c r="G19" s="2">
        <f>E19*F19</f>
        <v/>
      </c>
      <c r="H19" s="13" t="inlineStr">
        <is>
          <t>Audiomania</t>
        </is>
      </c>
      <c r="I19" t="inlineStr">
        <is>
          <t>на Pult.ru нет</t>
        </is>
      </c>
    </row>
    <row r="20">
      <c r="A20" t="n">
        <v>9</v>
      </c>
      <c r="B20" t="inlineStr">
        <is>
          <t>Акустика</t>
        </is>
      </c>
      <c r="C20" t="inlineStr">
        <is>
          <t>CVGaudio OSR608TBL, улица, 100 В / 20 Вт, IP65</t>
        </is>
      </c>
      <c r="D20" t="inlineStr">
        <is>
          <t>шт</t>
        </is>
      </c>
      <c r="E20" s="11" t="n">
        <v>2</v>
      </c>
      <c r="F20" s="12" t="n">
        <v>9417</v>
      </c>
      <c r="G20" s="2">
        <f>E20*F20</f>
        <v/>
      </c>
      <c r="H20" s="13" t="inlineStr">
        <is>
          <t>Pult.ru</t>
        </is>
      </c>
      <c r="I20" t="inlineStr"/>
    </row>
    <row r="21">
      <c r="A21" t="n">
        <v>10</v>
      </c>
      <c r="B21" t="inlineStr">
        <is>
          <t>Акустика</t>
        </is>
      </c>
      <c r="C21" t="inlineStr">
        <is>
          <t>CVGaudio NF4TBL, туалет, 100 В / 8 Вт</t>
        </is>
      </c>
      <c r="D21" t="inlineStr">
        <is>
          <t>шт</t>
        </is>
      </c>
      <c r="E21" s="11" t="n">
        <v>2</v>
      </c>
      <c r="F21" s="12" t="n">
        <v>6150</v>
      </c>
      <c r="G21" s="2">
        <f>E21*F21</f>
        <v/>
      </c>
      <c r="H21" s="13" t="inlineStr">
        <is>
          <t>CVG (каталог)</t>
        </is>
      </c>
      <c r="I21" t="inlineStr">
        <is>
          <t>цена Pult.ru (карточки нет в индексе)</t>
        </is>
      </c>
    </row>
    <row r="22">
      <c r="A22" t="n">
        <v>11</v>
      </c>
      <c r="B22" t="inlineStr">
        <is>
          <t>Шкаф и материалы</t>
        </is>
      </c>
      <c r="C22" t="inlineStr">
        <is>
          <t>Шкаф настенный 19″ 9U Wize Pro W9U45R</t>
        </is>
      </c>
      <c r="D22" t="inlineStr">
        <is>
          <t>шт</t>
        </is>
      </c>
      <c r="E22" s="11" t="n">
        <v>1</v>
      </c>
      <c r="F22" s="12" t="n">
        <v>17869</v>
      </c>
      <c r="G22" s="2">
        <f>E22*F22</f>
        <v/>
      </c>
      <c r="H22" s="13" t="inlineStr">
        <is>
          <t>Pult.ru (раздел)</t>
        </is>
      </c>
      <c r="I22" t="inlineStr">
        <is>
          <t>Москва; в СПб 17 535</t>
        </is>
      </c>
    </row>
    <row r="23">
      <c r="A23" t="n">
        <v>12</v>
      </c>
      <c r="B23" t="inlineStr">
        <is>
          <t>Шкаф и материалы</t>
        </is>
      </c>
      <c r="C23" t="inlineStr">
        <is>
          <t>Блок розеток 19″ 1U с выключателем MDX PDU-8E-10A-Sw</t>
        </is>
      </c>
      <c r="D23" t="inlineStr">
        <is>
          <t>шт</t>
        </is>
      </c>
      <c r="E23" s="11" t="n">
        <v>1</v>
      </c>
      <c r="F23" s="12" t="n">
        <v>2080</v>
      </c>
      <c r="G23" s="2">
        <f>E23*F23</f>
        <v/>
      </c>
      <c r="H23" s="13" t="inlineStr">
        <is>
          <t>Pult.ru</t>
        </is>
      </c>
      <c r="I23" t="inlineStr"/>
    </row>
    <row r="24">
      <c r="A24" t="n">
        <v>13</v>
      </c>
      <c r="B24" t="inlineStr">
        <is>
          <t>Шкаф и материалы</t>
        </is>
      </c>
      <c r="C24" t="inlineStr">
        <is>
          <t>Полка 19″ 1U EuroMet EU/R-RP1</t>
        </is>
      </c>
      <c r="D24" t="inlineStr">
        <is>
          <t>шт</t>
        </is>
      </c>
      <c r="E24" s="11" t="n">
        <v>1</v>
      </c>
      <c r="F24" s="12" t="n">
        <v>2278</v>
      </c>
      <c r="G24" s="2">
        <f>E24*F24</f>
        <v/>
      </c>
      <c r="H24" s="13" t="inlineStr">
        <is>
          <t>Pult.ru</t>
        </is>
      </c>
      <c r="I24" t="inlineStr">
        <is>
          <t>под плеер</t>
        </is>
      </c>
    </row>
    <row r="25">
      <c r="A25" t="n">
        <v>14</v>
      </c>
      <c r="B25" t="inlineStr">
        <is>
          <t>Шкаф и материалы</t>
        </is>
      </c>
      <c r="C25" t="inlineStr">
        <is>
          <t>Кабель: 2×2,5 (пары), 2×1,5 (саб, 100 В), уличный, Cat5e ×3</t>
        </is>
      </c>
      <c r="D25" t="inlineStr">
        <is>
          <t>компл</t>
        </is>
      </c>
      <c r="E25" s="11" t="n">
        <v>1</v>
      </c>
      <c r="F25" s="12" t="n">
        <v>25000</v>
      </c>
      <c r="G25" s="2">
        <f>E25*F25</f>
        <v/>
      </c>
      <c r="H25" t="inlineStr"/>
      <c r="I25" t="inlineStr">
        <is>
          <t>оценка, по длине трасс</t>
        </is>
      </c>
    </row>
    <row r="26">
      <c r="A26" t="n">
        <v>15</v>
      </c>
      <c r="B26" t="inlineStr">
        <is>
          <t>Шкаф и материалы</t>
        </is>
      </c>
      <c r="C26" t="inlineStr">
        <is>
          <t>Кронштейны для KEF, тросики, расходные материалы</t>
        </is>
      </c>
      <c r="D26" t="inlineStr">
        <is>
          <t>компл</t>
        </is>
      </c>
      <c r="E26" s="11" t="n">
        <v>1</v>
      </c>
      <c r="F26" s="12" t="n">
        <v>12000</v>
      </c>
      <c r="G26" s="2">
        <f>E26*F26</f>
        <v/>
      </c>
      <c r="H26" t="inlineStr"/>
      <c r="I26" t="inlineStr">
        <is>
          <t>оценка</t>
        </is>
      </c>
    </row>
    <row r="27">
      <c r="B27" s="6" t="n"/>
      <c r="C27" s="6" t="inlineStr">
        <is>
          <t>Итого, вариант A</t>
        </is>
      </c>
      <c r="F27" s="2" t="n"/>
      <c r="G27" s="7">
        <f>SUM(G12:G26)</f>
        <v/>
      </c>
    </row>
    <row r="28">
      <c r="F28" s="2" t="n"/>
      <c r="G28" s="2" t="n"/>
    </row>
    <row r="29">
      <c r="A29" s="8" t="inlineStr">
        <is>
          <t>Вариант B: CVGaudio 100 В, самый простой (один REBOX-T18)</t>
        </is>
      </c>
      <c r="B29" s="9" t="n"/>
      <c r="C29" s="9" t="n"/>
      <c r="D29" s="9" t="n"/>
      <c r="E29" s="9" t="n"/>
      <c r="F29" s="10" t="n"/>
      <c r="G29" s="10" t="n"/>
      <c r="H29" s="9" t="n"/>
      <c r="I29" s="9" t="n"/>
    </row>
    <row r="30">
      <c r="A30" s="4" t="inlineStr">
        <is>
          <t>№</t>
        </is>
      </c>
      <c r="B30" s="4" t="inlineStr">
        <is>
          <t>Раздел</t>
        </is>
      </c>
      <c r="C30" s="4" t="inlineStr">
        <is>
          <t>Наименование</t>
        </is>
      </c>
      <c r="D30" s="4" t="inlineStr">
        <is>
          <t>Ед.</t>
        </is>
      </c>
      <c r="E30" s="4" t="inlineStr">
        <is>
          <t>Кол-во</t>
        </is>
      </c>
      <c r="F30" s="5" t="inlineStr">
        <is>
          <t>Цена, ₽</t>
        </is>
      </c>
      <c r="G30" s="5" t="inlineStr">
        <is>
          <t>Сумма, ₽</t>
        </is>
      </c>
      <c r="H30" s="4" t="inlineStr">
        <is>
          <t>Где купить</t>
        </is>
      </c>
      <c r="I30" s="4" t="inlineStr">
        <is>
          <t>Примечание</t>
        </is>
      </c>
    </row>
    <row r="31">
      <c r="A31" t="n">
        <v>1</v>
      </c>
      <c r="B31" t="inlineStr">
        <is>
          <t>Электроника</t>
        </is>
      </c>
      <c r="C31" t="inlineStr">
        <is>
          <t>CVGaudio REBOX-T18 V.2, 180 Вт / 100 В, MP3/FM/BT</t>
        </is>
      </c>
      <c r="D31" t="inlineStr">
        <is>
          <t>шт</t>
        </is>
      </c>
      <c r="E31" s="11" t="n">
        <v>1</v>
      </c>
      <c r="F31" s="12" t="n">
        <v>35269</v>
      </c>
      <c r="G31" s="2">
        <f>E31*F31</f>
        <v/>
      </c>
      <c r="H31" s="13" t="inlineStr">
        <is>
          <t>Pult.ru</t>
        </is>
      </c>
      <c r="I31" t="inlineStr">
        <is>
          <t>все три зоны</t>
        </is>
      </c>
    </row>
    <row r="32">
      <c r="A32" t="n">
        <v>2</v>
      </c>
      <c r="B32" t="inlineStr">
        <is>
          <t>Электроника</t>
        </is>
      </c>
      <c r="C32" t="inlineStr">
        <is>
          <t>CVGaudio VA-1100, регулятор «Зал» (100 Вт)</t>
        </is>
      </c>
      <c r="D32" t="inlineStr">
        <is>
          <t>шт</t>
        </is>
      </c>
      <c r="E32" s="11" t="n">
        <v>1</v>
      </c>
      <c r="F32" s="12" t="n">
        <v>4246</v>
      </c>
      <c r="G32" s="2">
        <f>E32*F32</f>
        <v/>
      </c>
      <c r="H32" s="13" t="inlineStr">
        <is>
          <t>Pult.ru</t>
        </is>
      </c>
      <c r="I32" t="inlineStr"/>
    </row>
    <row r="33">
      <c r="A33" t="n">
        <v>3</v>
      </c>
      <c r="B33" t="inlineStr">
        <is>
          <t>Электроника</t>
        </is>
      </c>
      <c r="C33" t="inlineStr">
        <is>
          <t>CVGaudio VA-1100, регулятор «Улица» (100 Вт)</t>
        </is>
      </c>
      <c r="D33" t="inlineStr">
        <is>
          <t>шт</t>
        </is>
      </c>
      <c r="E33" s="11" t="n">
        <v>1</v>
      </c>
      <c r="F33" s="12" t="n">
        <v>4246</v>
      </c>
      <c r="G33" s="2">
        <f>E33*F33</f>
        <v/>
      </c>
      <c r="H33" s="13" t="inlineStr">
        <is>
          <t>Pult.ru</t>
        </is>
      </c>
      <c r="I33" t="inlineStr"/>
    </row>
    <row r="34">
      <c r="A34" t="n">
        <v>4</v>
      </c>
      <c r="B34" t="inlineStr">
        <is>
          <t>Электроника</t>
        </is>
      </c>
      <c r="C34" t="inlineStr">
        <is>
          <t>CVGaudio VA-110, регулятор «Туалет» (10 Вт)</t>
        </is>
      </c>
      <c r="D34" t="inlineStr">
        <is>
          <t>шт</t>
        </is>
      </c>
      <c r="E34" s="11" t="n">
        <v>1</v>
      </c>
      <c r="F34" s="12" t="n">
        <v>2393</v>
      </c>
      <c r="G34" s="2">
        <f>E34*F34</f>
        <v/>
      </c>
      <c r="H34" s="13" t="inlineStr">
        <is>
          <t>Pult.ru</t>
        </is>
      </c>
      <c r="I34" t="inlineStr"/>
    </row>
    <row r="35">
      <c r="A35" t="n">
        <v>5</v>
      </c>
      <c r="B35" t="inlineStr">
        <is>
          <t>Электроника</t>
        </is>
      </c>
      <c r="C35" t="inlineStr">
        <is>
          <t>Рамка / подрозетники под регуляторы</t>
        </is>
      </c>
      <c r="D35" t="inlineStr">
        <is>
          <t>компл</t>
        </is>
      </c>
      <c r="E35" s="11" t="n">
        <v>1</v>
      </c>
      <c r="F35" s="12" t="n">
        <v>1500</v>
      </c>
      <c r="G35" s="2">
        <f>E35*F35</f>
        <v/>
      </c>
      <c r="H35" t="inlineStr"/>
      <c r="I35" t="inlineStr">
        <is>
          <t>оценка</t>
        </is>
      </c>
    </row>
    <row r="36">
      <c r="A36" t="n">
        <v>6</v>
      </c>
      <c r="B36" t="inlineStr">
        <is>
          <t>Электроника</t>
        </is>
      </c>
      <c r="C36" t="inlineStr">
        <is>
          <t>Кабель/адаптер iPad → RCA</t>
        </is>
      </c>
      <c r="D36" t="inlineStr">
        <is>
          <t>компл</t>
        </is>
      </c>
      <c r="E36" s="11" t="n">
        <v>1</v>
      </c>
      <c r="F36" s="12" t="n">
        <v>2000</v>
      </c>
      <c r="G36" s="2">
        <f>E36*F36</f>
        <v/>
      </c>
      <c r="H36" t="inlineStr"/>
      <c r="I36" t="inlineStr">
        <is>
          <t>оценка; или встроенный плеер T18</t>
        </is>
      </c>
    </row>
    <row r="37">
      <c r="A37" t="n">
        <v>7</v>
      </c>
      <c r="B37" t="inlineStr">
        <is>
          <t>Акустика</t>
        </is>
      </c>
      <c r="C37" t="inlineStr">
        <is>
          <t>CVGaudio OSR608TBL, зал 4 шт + улица 2 шт, 100 В / 20 Вт</t>
        </is>
      </c>
      <c r="D37" t="inlineStr">
        <is>
          <t>шт</t>
        </is>
      </c>
      <c r="E37" s="11" t="n">
        <v>6</v>
      </c>
      <c r="F37" s="12" t="n">
        <v>9417</v>
      </c>
      <c r="G37" s="2">
        <f>E37*F37</f>
        <v/>
      </c>
      <c r="H37" s="13" t="inlineStr">
        <is>
          <t>Pult.ru</t>
        </is>
      </c>
      <c r="I37" t="inlineStr"/>
    </row>
    <row r="38">
      <c r="A38" t="n">
        <v>8</v>
      </c>
      <c r="B38" t="inlineStr">
        <is>
          <t>Акустика</t>
        </is>
      </c>
      <c r="C38" t="inlineStr">
        <is>
          <t>CVGaudio NF4TBL, туалет, 100 В / 4 Вт</t>
        </is>
      </c>
      <c r="D38" t="inlineStr">
        <is>
          <t>шт</t>
        </is>
      </c>
      <c r="E38" s="11" t="n">
        <v>2</v>
      </c>
      <c r="F38" s="12" t="n">
        <v>6150</v>
      </c>
      <c r="G38" s="2">
        <f>E38*F38</f>
        <v/>
      </c>
      <c r="H38" s="13" t="inlineStr">
        <is>
          <t>CVG (каталог)</t>
        </is>
      </c>
      <c r="I38" t="inlineStr">
        <is>
          <t>цена Pult.ru (карточки нет в индексе)</t>
        </is>
      </c>
    </row>
    <row r="39">
      <c r="A39" t="n">
        <v>9</v>
      </c>
      <c r="B39" t="inlineStr">
        <is>
          <t>Шкаф и материалы</t>
        </is>
      </c>
      <c r="C39" t="inlineStr">
        <is>
          <t>Кабель 2×1,5 (100 В), уличный кабель</t>
        </is>
      </c>
      <c r="D39" t="inlineStr">
        <is>
          <t>компл</t>
        </is>
      </c>
      <c r="E39" s="11" t="n">
        <v>1</v>
      </c>
      <c r="F39" s="12" t="n">
        <v>12000</v>
      </c>
      <c r="G39" s="2">
        <f>E39*F39</f>
        <v/>
      </c>
      <c r="H39" t="inlineStr"/>
      <c r="I39" t="inlineStr">
        <is>
          <t>оценка, по длине трасс</t>
        </is>
      </c>
    </row>
    <row r="40">
      <c r="A40" t="n">
        <v>10</v>
      </c>
      <c r="B40" t="inlineStr">
        <is>
          <t>Шкаф и материалы</t>
        </is>
      </c>
      <c r="C40" t="inlineStr">
        <is>
          <t>Расходные материалы (крепёж, коробки IP65)</t>
        </is>
      </c>
      <c r="D40" t="inlineStr">
        <is>
          <t>компл</t>
        </is>
      </c>
      <c r="E40" s="11" t="n">
        <v>1</v>
      </c>
      <c r="F40" s="12" t="n">
        <v>7000</v>
      </c>
      <c r="G40" s="2">
        <f>E40*F40</f>
        <v/>
      </c>
      <c r="H40" t="inlineStr"/>
      <c r="I40" t="inlineStr">
        <is>
          <t>как в смете В.О.</t>
        </is>
      </c>
    </row>
    <row r="41">
      <c r="B41" s="6" t="n"/>
      <c r="C41" s="6" t="inlineStr">
        <is>
          <t>Итого, вариант B</t>
        </is>
      </c>
      <c r="F41" s="2" t="n"/>
      <c r="G41" s="7">
        <f>SUM(G31:G40)</f>
        <v/>
      </c>
    </row>
    <row r="42">
      <c r="F42" s="2" t="n"/>
      <c r="G42" s="2" t="n"/>
    </row>
    <row r="43">
      <c r="A43" s="8" t="inlineStr">
        <is>
          <t>Вариант C: Lab.gruppen 100 В (CA2401 + CA1202), сабвуфер опционально</t>
        </is>
      </c>
      <c r="B43" s="9" t="n"/>
      <c r="C43" s="9" t="n"/>
      <c r="D43" s="9" t="n"/>
      <c r="E43" s="9" t="n"/>
      <c r="F43" s="10" t="n"/>
      <c r="G43" s="10" t="n"/>
      <c r="H43" s="9" t="n"/>
      <c r="I43" s="9" t="n"/>
    </row>
    <row r="44">
      <c r="A44" s="4" t="inlineStr">
        <is>
          <t>№</t>
        </is>
      </c>
      <c r="B44" s="4" t="inlineStr">
        <is>
          <t>Раздел</t>
        </is>
      </c>
      <c r="C44" s="4" t="inlineStr">
        <is>
          <t>Наименование</t>
        </is>
      </c>
      <c r="D44" s="4" t="inlineStr">
        <is>
          <t>Ед.</t>
        </is>
      </c>
      <c r="E44" s="4" t="inlineStr">
        <is>
          <t>Кол-во</t>
        </is>
      </c>
      <c r="F44" s="5" t="inlineStr">
        <is>
          <t>Цена, ₽</t>
        </is>
      </c>
      <c r="G44" s="5" t="inlineStr">
        <is>
          <t>Сумма, ₽</t>
        </is>
      </c>
      <c r="H44" s="4" t="inlineStr">
        <is>
          <t>Где купить</t>
        </is>
      </c>
      <c r="I44" s="4" t="inlineStr">
        <is>
          <t>Примечание</t>
        </is>
      </c>
    </row>
    <row r="45">
      <c r="A45" t="n">
        <v>1</v>
      </c>
      <c r="B45" t="inlineStr">
        <is>
          <t>Электроника</t>
        </is>
      </c>
      <c r="C45" t="inlineStr">
        <is>
          <t>Lab.gruppen CM82, микшер 8×2</t>
        </is>
      </c>
      <c r="D45" t="inlineStr">
        <is>
          <t>шт</t>
        </is>
      </c>
      <c r="E45" s="11" t="n">
        <v>1</v>
      </c>
      <c r="F45" s="12" t="n">
        <v>45071</v>
      </c>
      <c r="G45" s="2">
        <f>E45*F45</f>
        <v/>
      </c>
      <c r="H45" s="13" t="inlineStr">
        <is>
          <t>Pult.ru</t>
        </is>
      </c>
      <c r="I45" t="inlineStr"/>
    </row>
    <row r="46">
      <c r="A46" t="n">
        <v>2</v>
      </c>
      <c r="B46" t="inlineStr">
        <is>
          <t>Электроника</t>
        </is>
      </c>
      <c r="C46" t="inlineStr">
        <is>
          <t>Lab.gruppen CA2401, зал (100 В)</t>
        </is>
      </c>
      <c r="D46" t="inlineStr">
        <is>
          <t>шт</t>
        </is>
      </c>
      <c r="E46" s="11" t="n">
        <v>1</v>
      </c>
      <c r="F46" s="12" t="n">
        <v>50100</v>
      </c>
      <c r="G46" s="2">
        <f>E46*F46</f>
        <v/>
      </c>
      <c r="H46" s="13" t="inlineStr">
        <is>
          <t>Pult.ru</t>
        </is>
      </c>
      <c r="I46" t="inlineStr"/>
    </row>
    <row r="47">
      <c r="A47" t="n">
        <v>3</v>
      </c>
      <c r="B47" t="inlineStr">
        <is>
          <t>Электроника</t>
        </is>
      </c>
      <c r="C47" t="inlineStr">
        <is>
          <t>Lab.gruppen CA1202, улица + туалет (100 В)</t>
        </is>
      </c>
      <c r="D47" t="inlineStr">
        <is>
          <t>шт</t>
        </is>
      </c>
      <c r="E47" s="11" t="n">
        <v>1</v>
      </c>
      <c r="F47" s="12" t="n">
        <v>44996</v>
      </c>
      <c r="G47" s="2">
        <f>E47*F47</f>
        <v/>
      </c>
      <c r="H47" s="13" t="inlineStr">
        <is>
          <t>Pult.ru (раздел)</t>
        </is>
      </c>
      <c r="I47" t="inlineStr">
        <is>
          <t>карточки нет в индексе; встречалась 42 502</t>
        </is>
      </c>
    </row>
    <row r="48">
      <c r="A48" t="n">
        <v>4</v>
      </c>
      <c r="B48" t="inlineStr">
        <is>
          <t>Электроника</t>
        </is>
      </c>
      <c r="C48" t="inlineStr">
        <is>
          <t>Lab.gruppen CRC-VEU, регулятор зоны</t>
        </is>
      </c>
      <c r="D48" t="inlineStr">
        <is>
          <t>шт</t>
        </is>
      </c>
      <c r="E48" s="11" t="n">
        <v>3</v>
      </c>
      <c r="F48" s="12" t="n">
        <v>6510</v>
      </c>
      <c r="G48" s="2">
        <f>E48*F48</f>
        <v/>
      </c>
      <c r="H48" s="13" t="inlineStr">
        <is>
          <t>Pult.ru</t>
        </is>
      </c>
      <c r="I48" t="inlineStr">
        <is>
          <t>зал, улица, туалет</t>
        </is>
      </c>
    </row>
    <row r="49">
      <c r="A49" t="n">
        <v>5</v>
      </c>
      <c r="B49" t="inlineStr">
        <is>
          <t>Электроника</t>
        </is>
      </c>
      <c r="C49" t="inlineStr">
        <is>
          <t>Рамка на 3 поста + подрозетники</t>
        </is>
      </c>
      <c r="D49" t="inlineStr">
        <is>
          <t>компл</t>
        </is>
      </c>
      <c r="E49" s="11" t="n">
        <v>1</v>
      </c>
      <c r="F49" s="12" t="n">
        <v>1500</v>
      </c>
      <c r="G49" s="2">
        <f>E49*F49</f>
        <v/>
      </c>
      <c r="H49" t="inlineStr"/>
      <c r="I49" t="inlineStr">
        <is>
          <t>оценка</t>
        </is>
      </c>
    </row>
    <row r="50">
      <c r="A50" t="n">
        <v>6</v>
      </c>
      <c r="B50" t="inlineStr">
        <is>
          <t>Электроника</t>
        </is>
      </c>
      <c r="C50" t="inlineStr">
        <is>
          <t>Сетевой плеер WiiM Pro</t>
        </is>
      </c>
      <c r="D50" t="inlineStr">
        <is>
          <t>шт</t>
        </is>
      </c>
      <c r="E50" s="11" t="n">
        <v>1</v>
      </c>
      <c r="F50" s="12" t="n">
        <v>22999</v>
      </c>
      <c r="G50" s="2">
        <f>E50*F50</f>
        <v/>
      </c>
      <c r="H50" s="13" t="inlineStr">
        <is>
          <t>Pult.ru</t>
        </is>
      </c>
      <c r="I50" t="inlineStr">
        <is>
          <t>можно любой источник с линейным выходом</t>
        </is>
      </c>
    </row>
    <row r="51">
      <c r="A51" t="n">
        <v>7</v>
      </c>
      <c r="B51" t="inlineStr">
        <is>
          <t>Акустика</t>
        </is>
      </c>
      <c r="C51" t="inlineStr">
        <is>
          <t>CVGaudio OSR608TBL, зал 4 шт (30 Вт) + улица 2 шт (20 Вт)</t>
        </is>
      </c>
      <c r="D51" t="inlineStr">
        <is>
          <t>шт</t>
        </is>
      </c>
      <c r="E51" s="11" t="n">
        <v>6</v>
      </c>
      <c r="F51" s="12" t="n">
        <v>9417</v>
      </c>
      <c r="G51" s="2">
        <f>E51*F51</f>
        <v/>
      </c>
      <c r="H51" s="13" t="inlineStr">
        <is>
          <t>Pult.ru</t>
        </is>
      </c>
      <c r="I51" t="inlineStr"/>
    </row>
    <row r="52">
      <c r="A52" t="n">
        <v>8</v>
      </c>
      <c r="B52" t="inlineStr">
        <is>
          <t>Акустика</t>
        </is>
      </c>
      <c r="C52" t="inlineStr">
        <is>
          <t>CVGaudio NF4TBL, туалет, 100 В / 8 Вт</t>
        </is>
      </c>
      <c r="D52" t="inlineStr">
        <is>
          <t>шт</t>
        </is>
      </c>
      <c r="E52" s="11" t="n">
        <v>2</v>
      </c>
      <c r="F52" s="12" t="n">
        <v>6150</v>
      </c>
      <c r="G52" s="2">
        <f>E52*F52</f>
        <v/>
      </c>
      <c r="H52" s="13" t="inlineStr">
        <is>
          <t>CVG (каталог)</t>
        </is>
      </c>
      <c r="I52" t="inlineStr">
        <is>
          <t>цена Pult.ru (карточки нет в индексе)</t>
        </is>
      </c>
    </row>
    <row r="53">
      <c r="A53" t="n">
        <v>9</v>
      </c>
      <c r="B53" t="inlineStr">
        <is>
          <t>Шкаф и материалы</t>
        </is>
      </c>
      <c r="C53" t="inlineStr">
        <is>
          <t>Шкаф настенный 19″ 9U Wize Pro W9U45R</t>
        </is>
      </c>
      <c r="D53" t="inlineStr">
        <is>
          <t>шт</t>
        </is>
      </c>
      <c r="E53" s="11" t="n">
        <v>1</v>
      </c>
      <c r="F53" s="12" t="n">
        <v>17869</v>
      </c>
      <c r="G53" s="2">
        <f>E53*F53</f>
        <v/>
      </c>
      <c r="H53" s="13" t="inlineStr">
        <is>
          <t>Pult.ru (раздел)</t>
        </is>
      </c>
      <c r="I53" t="inlineStr">
        <is>
          <t>Москва; в СПб 17 535</t>
        </is>
      </c>
    </row>
    <row r="54">
      <c r="A54" t="n">
        <v>10</v>
      </c>
      <c r="B54" t="inlineStr">
        <is>
          <t>Шкаф и материалы</t>
        </is>
      </c>
      <c r="C54" t="inlineStr">
        <is>
          <t>Блок розеток 19″ 1U с выключателем MDX PDU-8E-10A-Sw</t>
        </is>
      </c>
      <c r="D54" t="inlineStr">
        <is>
          <t>шт</t>
        </is>
      </c>
      <c r="E54" s="11" t="n">
        <v>1</v>
      </c>
      <c r="F54" s="12" t="n">
        <v>2080</v>
      </c>
      <c r="G54" s="2">
        <f>E54*F54</f>
        <v/>
      </c>
      <c r="H54" s="13" t="inlineStr">
        <is>
          <t>Pult.ru</t>
        </is>
      </c>
      <c r="I54" t="inlineStr"/>
    </row>
    <row r="55">
      <c r="A55" t="n">
        <v>11</v>
      </c>
      <c r="B55" t="inlineStr">
        <is>
          <t>Шкаф и материалы</t>
        </is>
      </c>
      <c r="C55" t="inlineStr">
        <is>
          <t>Полка 19″ 1U EuroMet EU/R-RP1</t>
        </is>
      </c>
      <c r="D55" t="inlineStr">
        <is>
          <t>шт</t>
        </is>
      </c>
      <c r="E55" s="11" t="n">
        <v>1</v>
      </c>
      <c r="F55" s="12" t="n">
        <v>2278</v>
      </c>
      <c r="G55" s="2">
        <f>E55*F55</f>
        <v/>
      </c>
      <c r="H55" s="13" t="inlineStr">
        <is>
          <t>Pult.ru</t>
        </is>
      </c>
      <c r="I55" t="inlineStr">
        <is>
          <t>под плеер</t>
        </is>
      </c>
    </row>
    <row r="56">
      <c r="A56" t="n">
        <v>12</v>
      </c>
      <c r="B56" t="inlineStr">
        <is>
          <t>Шкаф и материалы</t>
        </is>
      </c>
      <c r="C56" t="inlineStr">
        <is>
          <t>Кабель: 2×1,5 (100 В), уличный, Cat5e ×3, 2×2,5 под саб</t>
        </is>
      </c>
      <c r="D56" t="inlineStr">
        <is>
          <t>компл</t>
        </is>
      </c>
      <c r="E56" s="11" t="n">
        <v>1</v>
      </c>
      <c r="F56" s="12" t="n">
        <v>18000</v>
      </c>
      <c r="G56" s="2">
        <f>E56*F56</f>
        <v/>
      </c>
      <c r="H56" t="inlineStr"/>
      <c r="I56" t="inlineStr">
        <is>
          <t>оценка; трасса под саб сразу</t>
        </is>
      </c>
    </row>
    <row r="57">
      <c r="A57" t="n">
        <v>13</v>
      </c>
      <c r="B57" t="inlineStr">
        <is>
          <t>Шкаф и материалы</t>
        </is>
      </c>
      <c r="C57" t="inlineStr">
        <is>
          <t>Расходные материалы</t>
        </is>
      </c>
      <c r="D57" t="inlineStr">
        <is>
          <t>компл</t>
        </is>
      </c>
      <c r="E57" s="11" t="n">
        <v>1</v>
      </c>
      <c r="F57" s="12" t="n">
        <v>8000</v>
      </c>
      <c r="G57" s="2">
        <f>E57*F57</f>
        <v/>
      </c>
      <c r="H57" t="inlineStr"/>
      <c r="I57" t="inlineStr">
        <is>
          <t>оценка</t>
        </is>
      </c>
    </row>
    <row r="58">
      <c r="B58" s="6" t="n"/>
      <c r="C58" s="6" t="inlineStr">
        <is>
          <t>Итого, вариант C</t>
        </is>
      </c>
      <c r="F58" s="2" t="n"/>
      <c r="G58" s="7">
        <f>SUM(G45:G57)</f>
        <v/>
      </c>
    </row>
    <row r="59">
      <c r="A59" t="n">
        <v>1</v>
      </c>
      <c r="B59" t="inlineStr">
        <is>
          <t>Опция</t>
        </is>
      </c>
      <c r="C59" t="inlineStr">
        <is>
          <t>Lab.gruppen CA2401, сабвуфер (8 Ом)</t>
        </is>
      </c>
      <c r="D59" t="inlineStr">
        <is>
          <t>шт</t>
        </is>
      </c>
      <c r="E59" s="11" t="n">
        <v>1</v>
      </c>
      <c r="F59" s="12" t="n">
        <v>50100</v>
      </c>
      <c r="G59" s="2">
        <f>E59*F59</f>
        <v/>
      </c>
      <c r="H59" s="13" t="inlineStr">
        <is>
          <t>Pult.ru</t>
        </is>
      </c>
      <c r="I59" t="inlineStr"/>
    </row>
    <row r="60">
      <c r="A60" t="n">
        <v>2</v>
      </c>
      <c r="B60" t="inlineStr">
        <is>
          <t>Опция</t>
        </is>
      </c>
      <c r="C60" t="inlineStr">
        <is>
          <t>Сабвуфер Tannoy VSX10 BP</t>
        </is>
      </c>
      <c r="D60" t="inlineStr">
        <is>
          <t>шт</t>
        </is>
      </c>
      <c r="E60" s="11" t="n">
        <v>1</v>
      </c>
      <c r="F60" s="12" t="n">
        <v>71340</v>
      </c>
      <c r="G60" s="2">
        <f>E60*F60</f>
        <v/>
      </c>
      <c r="H60" s="13" t="inlineStr">
        <is>
          <t>Pult.ru (раздел)</t>
        </is>
      </c>
      <c r="I60" t="inlineStr">
        <is>
          <t>чёрный; белый бывает со скидкой ~58 690</t>
        </is>
      </c>
    </row>
    <row r="61">
      <c r="B61" s="6" t="n"/>
      <c r="C61" s="6" t="inlineStr">
        <is>
          <t>Итого, опция «сабвуфер»</t>
        </is>
      </c>
      <c r="F61" s="2" t="n"/>
      <c r="G61" s="7">
        <f>SUM(G59:G60)</f>
        <v/>
      </c>
    </row>
    <row r="62">
      <c r="F62" s="2" t="n"/>
      <c r="G62" s="2" t="n"/>
    </row>
  </sheetData>
  <hyperlinks>
    <hyperlink xmlns:r="http://schemas.openxmlformats.org/officeDocument/2006/relationships" ref="H12" r:id="rId1"/>
    <hyperlink xmlns:r="http://schemas.openxmlformats.org/officeDocument/2006/relationships" ref="H13" r:id="rId2"/>
    <hyperlink xmlns:r="http://schemas.openxmlformats.org/officeDocument/2006/relationships" ref="H14" r:id="rId3"/>
    <hyperlink xmlns:r="http://schemas.openxmlformats.org/officeDocument/2006/relationships" ref="H15" r:id="rId4"/>
    <hyperlink xmlns:r="http://schemas.openxmlformats.org/officeDocument/2006/relationships" ref="H17" r:id="rId5"/>
    <hyperlink xmlns:r="http://schemas.openxmlformats.org/officeDocument/2006/relationships" ref="H18" r:id="rId6"/>
    <hyperlink xmlns:r="http://schemas.openxmlformats.org/officeDocument/2006/relationships" ref="H19" r:id="rId7"/>
    <hyperlink xmlns:r="http://schemas.openxmlformats.org/officeDocument/2006/relationships" ref="H20" r:id="rId8"/>
    <hyperlink xmlns:r="http://schemas.openxmlformats.org/officeDocument/2006/relationships" ref="H21" r:id="rId9"/>
    <hyperlink xmlns:r="http://schemas.openxmlformats.org/officeDocument/2006/relationships" ref="H22" r:id="rId10"/>
    <hyperlink xmlns:r="http://schemas.openxmlformats.org/officeDocument/2006/relationships" ref="H23" r:id="rId11"/>
    <hyperlink xmlns:r="http://schemas.openxmlformats.org/officeDocument/2006/relationships" ref="H24" r:id="rId12"/>
    <hyperlink xmlns:r="http://schemas.openxmlformats.org/officeDocument/2006/relationships" ref="H31" r:id="rId13"/>
    <hyperlink xmlns:r="http://schemas.openxmlformats.org/officeDocument/2006/relationships" ref="H32" r:id="rId14"/>
    <hyperlink xmlns:r="http://schemas.openxmlformats.org/officeDocument/2006/relationships" ref="H33" r:id="rId15"/>
    <hyperlink xmlns:r="http://schemas.openxmlformats.org/officeDocument/2006/relationships" ref="H34" r:id="rId16"/>
    <hyperlink xmlns:r="http://schemas.openxmlformats.org/officeDocument/2006/relationships" ref="H37" r:id="rId17"/>
    <hyperlink xmlns:r="http://schemas.openxmlformats.org/officeDocument/2006/relationships" ref="H38" r:id="rId18"/>
    <hyperlink xmlns:r="http://schemas.openxmlformats.org/officeDocument/2006/relationships" ref="H45" r:id="rId19"/>
    <hyperlink xmlns:r="http://schemas.openxmlformats.org/officeDocument/2006/relationships" ref="H46" r:id="rId20"/>
    <hyperlink xmlns:r="http://schemas.openxmlformats.org/officeDocument/2006/relationships" ref="H47" r:id="rId21"/>
    <hyperlink xmlns:r="http://schemas.openxmlformats.org/officeDocument/2006/relationships" ref="H48" r:id="rId22"/>
    <hyperlink xmlns:r="http://schemas.openxmlformats.org/officeDocument/2006/relationships" ref="H50" r:id="rId23"/>
    <hyperlink xmlns:r="http://schemas.openxmlformats.org/officeDocument/2006/relationships" ref="H51" r:id="rId24"/>
    <hyperlink xmlns:r="http://schemas.openxmlformats.org/officeDocument/2006/relationships" ref="H52" r:id="rId25"/>
    <hyperlink xmlns:r="http://schemas.openxmlformats.org/officeDocument/2006/relationships" ref="H53" r:id="rId26"/>
    <hyperlink xmlns:r="http://schemas.openxmlformats.org/officeDocument/2006/relationships" ref="H54" r:id="rId27"/>
    <hyperlink xmlns:r="http://schemas.openxmlformats.org/officeDocument/2006/relationships" ref="H55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2026-10-22T08:12:06Z</dcterms:created>
  <dcterms:modified xmlns:dcterms="http://purl.org/dc/terms/" xmlns:xsi="http://www.w3.org/2001/XMLSchema-instance" xsi:type="dcterms:W3CDTF">2026-10-22T08:12:06Z</dcterms:modified>
</cp:coreProperties>
</file>